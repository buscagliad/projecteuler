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heet1" sheetId="1" state="visible" r:id="rId2"/>
    <sheet name="Sheet2" sheetId="2" state="visible" r:id="rId3"/>
    <sheet name="Receiver Timing" sheetId="3" state="visible" r:id="rId4"/>
    <sheet name="seven" sheetId="4" state="visible" r:id="rId5"/>
    <sheet name="Sheet5" sheetId="5" state="visible" r:id="rId6"/>
    <sheet name="Sheet6" sheetId="6" state="visible" r:id="rId7"/>
  </sheets>
  <definedNames>
    <definedName function="false" hidden="false" name="A" vbProcedure="false">Sheet5!$W$2</definedName>
    <definedName function="false" hidden="false" name="B" vbProcedure="false">Sheet5!$W$3</definedName>
    <definedName function="false" hidden="false" name="ll" vbProcedure="false">Sheet5!$H$3:$H$38</definedName>
    <definedName function="false" hidden="false" name="rr" vbProcedure="false">Sheet5!$L$3:$L$38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<sst xmlns="http://schemas.openxmlformats.org/spreadsheetml/2006/main" count="56" uniqueCount="36">
  <si>
    <t xml:space="preserve">a</t>
  </si>
  <si>
    <t xml:space="preserve">b</t>
  </si>
  <si>
    <t xml:space="preserve">C</t>
  </si>
  <si>
    <t xml:space="preserve">d</t>
  </si>
  <si>
    <t xml:space="preserve">Total</t>
  </si>
  <si>
    <t xml:space="preserve">L = 3 – Truth Data</t>
  </si>
  <si>
    <t xml:space="preserve">L = 4  -  Truth Data</t>
  </si>
  <si>
    <t xml:space="preserve">L = 5 – Truth Data</t>
  </si>
  <si>
    <t xml:space="preserve">Large</t>
  </si>
  <si>
    <t xml:space="preserve">l</t>
  </si>
  <si>
    <t xml:space="preserve">M=4</t>
  </si>
  <si>
    <t xml:space="preserve">r</t>
  </si>
  <si>
    <t xml:space="preserve">split</t>
  </si>
  <si>
    <t xml:space="preserve">sum:</t>
  </si>
  <si>
    <t xml:space="preserve">Receiver</t>
  </si>
  <si>
    <t xml:space="preserve">UUID</t>
  </si>
  <si>
    <t xml:space="preserve">Time Delta</t>
  </si>
  <si>
    <t xml:space="preserve">Dropped Packets</t>
  </si>
  <si>
    <t xml:space="preserve">Tune Time (avg)</t>
  </si>
  <si>
    <t xml:space="preserve">Scan Test</t>
  </si>
  <si>
    <t xml:space="preserve">1dddbd07-6063-4c8f-84f8-72f9a4ed659a</t>
  </si>
  <si>
    <t xml:space="preserve">Good</t>
  </si>
  <si>
    <t xml:space="preserve">d9597c5f-528a-46f1-a3ae-c4c9aa5d5b23</t>
  </si>
  <si>
    <t xml:space="preserve">28eca681-a8dd-4868-83af-69db373430c6</t>
  </si>
  <si>
    <t xml:space="preserve">d25efa44-94ab-418c-bd66-dfaef445a827</t>
  </si>
  <si>
    <t xml:space="preserve">7184b8f7-4207-40b4-aa8f-07851e25fe2d</t>
  </si>
  <si>
    <t xml:space="preserve">48acb082-04c6-45e3-8fbe-73050b2746a5</t>
  </si>
  <si>
    <t xml:space="preserve">46034856-12cc-411c-b4dc-336abf9b0adc</t>
  </si>
  <si>
    <t xml:space="preserve">0f9d0f22-d4d8-4378-b1a3-56dcc37df23f</t>
  </si>
  <si>
    <t xml:space="preserve">Took 30 minutes using seven.py (no optimization)</t>
  </si>
  <si>
    <t xml:space="preserve">Minimum #'s</t>
  </si>
  <si>
    <t xml:space="preserve">A</t>
  </si>
  <si>
    <t xml:space="preserve">B</t>
  </si>
  <si>
    <t xml:space="preserve">?</t>
  </si>
  <si>
    <t xml:space="preserve">K</t>
  </si>
  <si>
    <t xml:space="preserve">M= 4, K = 7, A = 3, B = 3, L =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</si>
</sst>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A933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B050"/>
      <name val="Aptos Narrow"/>
      <family val="2"/>
      <charset val="1"/>
    </font>
    <font>
      <b val="true"/>
      <sz val="11"/>
      <color rgb="FF00B050"/>
      <name val="Arial Black"/>
      <family val="2"/>
      <charset val="1"/>
    </font>
    <font>
      <sz val="11"/>
      <color rgb="FF00B050"/>
      <name val="Courier New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5CE"/>
        <bgColor rgb="FFFFFFFF"/>
      </patternFill>
    </fill>
    <fill>
      <patternFill patternType="solid">
        <fgColor rgb="FFE8F2A1"/>
        <bgColor rgb="FFFFF5CE"/>
      </patternFill>
    </fill>
    <fill>
      <patternFill patternType="solid">
        <fgColor rgb="FFFFFFFF"/>
        <bgColor rgb="FFFFF5CE"/>
      </patternFill>
    </fill>
    <fill>
      <patternFill patternType="solid">
        <fgColor rgb="FFAFD095"/>
        <bgColor rgb="FF99CCFF"/>
      </patternFill>
    </fill>
    <fill>
      <patternFill patternType="solid">
        <fgColor rgb="FFFF860D"/>
        <bgColor rgb="FFFF660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60D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C2" s="1" t="n">
        <v>1</v>
      </c>
      <c r="E2" s="1" t="n">
        <v>0</v>
      </c>
    </row>
    <row r="3" customFormat="false" ht="13.8" hidden="false" customHeight="false" outlineLevel="0" collapsed="false">
      <c r="C3" s="1" t="n">
        <v>2</v>
      </c>
      <c r="E3" s="1" t="n">
        <v>0</v>
      </c>
    </row>
    <row r="4" customFormat="false" ht="13.8" hidden="false" customHeight="false" outlineLevel="0" collapsed="false">
      <c r="A4" s="1" t="n">
        <f aca="false">24-B4</f>
        <v>23</v>
      </c>
      <c r="B4" s="1" t="n">
        <f aca="false">C4-2</f>
        <v>1</v>
      </c>
      <c r="C4" s="1" t="n">
        <v>3</v>
      </c>
      <c r="D4" s="1" t="n">
        <v>2</v>
      </c>
      <c r="E4" s="1" t="n">
        <f aca="false">A4*B4*D4</f>
        <v>46</v>
      </c>
    </row>
    <row r="5" customFormat="false" ht="13.8" hidden="false" customHeight="false" outlineLevel="0" collapsed="false">
      <c r="A5" s="1" t="n">
        <f aca="false">24-B5</f>
        <v>22</v>
      </c>
      <c r="B5" s="1" t="n">
        <f aca="false">C5-2</f>
        <v>2</v>
      </c>
      <c r="C5" s="1" t="n">
        <v>4</v>
      </c>
      <c r="D5" s="1" t="n">
        <f aca="false">C5-1</f>
        <v>3</v>
      </c>
      <c r="E5" s="1" t="n">
        <f aca="false">A5*B5*D5</f>
        <v>132</v>
      </c>
    </row>
    <row r="6" customFormat="false" ht="13.8" hidden="false" customHeight="false" outlineLevel="0" collapsed="false">
      <c r="A6" s="1" t="n">
        <f aca="false">24-B6</f>
        <v>21</v>
      </c>
      <c r="B6" s="1" t="n">
        <f aca="false">C6-2</f>
        <v>3</v>
      </c>
      <c r="C6" s="1" t="n">
        <v>5</v>
      </c>
      <c r="D6" s="1" t="n">
        <f aca="false">C6-1</f>
        <v>4</v>
      </c>
      <c r="E6" s="1" t="n">
        <f aca="false">A6*B6*D6</f>
        <v>252</v>
      </c>
    </row>
    <row r="7" customFormat="false" ht="13.8" hidden="false" customHeight="false" outlineLevel="0" collapsed="false">
      <c r="A7" s="1" t="n">
        <f aca="false">24-B7</f>
        <v>20</v>
      </c>
      <c r="B7" s="1" t="n">
        <f aca="false">C7-2</f>
        <v>4</v>
      </c>
      <c r="C7" s="1" t="n">
        <v>6</v>
      </c>
      <c r="D7" s="1" t="n">
        <f aca="false">C7-1</f>
        <v>5</v>
      </c>
      <c r="E7" s="1" t="n">
        <f aca="false">A7*B7*D7</f>
        <v>400</v>
      </c>
    </row>
    <row r="8" customFormat="false" ht="13.8" hidden="false" customHeight="false" outlineLevel="0" collapsed="false">
      <c r="A8" s="1" t="n">
        <f aca="false">24-B8</f>
        <v>19</v>
      </c>
      <c r="B8" s="1" t="n">
        <f aca="false">C8-2</f>
        <v>5</v>
      </c>
      <c r="C8" s="1" t="n">
        <v>7</v>
      </c>
      <c r="D8" s="1" t="n">
        <f aca="false">C8-1</f>
        <v>6</v>
      </c>
      <c r="E8" s="1" t="n">
        <f aca="false">A8*B8*D8</f>
        <v>570</v>
      </c>
    </row>
    <row r="9" customFormat="false" ht="13.8" hidden="false" customHeight="false" outlineLevel="0" collapsed="false">
      <c r="A9" s="1" t="n">
        <f aca="false">24-B9</f>
        <v>18</v>
      </c>
      <c r="B9" s="1" t="n">
        <f aca="false">C9-2</f>
        <v>6</v>
      </c>
      <c r="C9" s="1" t="n">
        <v>8</v>
      </c>
      <c r="D9" s="1" t="n">
        <f aca="false">C9-1</f>
        <v>7</v>
      </c>
      <c r="E9" s="1" t="n">
        <f aca="false">A9*B9*D9</f>
        <v>756</v>
      </c>
    </row>
    <row r="10" customFormat="false" ht="13.8" hidden="false" customHeight="false" outlineLevel="0" collapsed="false">
      <c r="A10" s="1" t="n">
        <f aca="false">24-B10</f>
        <v>17</v>
      </c>
      <c r="B10" s="1" t="n">
        <f aca="false">C10-2</f>
        <v>7</v>
      </c>
      <c r="C10" s="1" t="n">
        <v>9</v>
      </c>
      <c r="D10" s="1" t="n">
        <f aca="false">C10-1</f>
        <v>8</v>
      </c>
      <c r="E10" s="1" t="n">
        <f aca="false">A10*B10*D10</f>
        <v>952</v>
      </c>
    </row>
    <row r="11" customFormat="false" ht="13.8" hidden="false" customHeight="false" outlineLevel="0" collapsed="false">
      <c r="A11" s="1" t="n">
        <f aca="false">24-B11</f>
        <v>16</v>
      </c>
      <c r="B11" s="1" t="n">
        <f aca="false">C11-2</f>
        <v>8</v>
      </c>
      <c r="C11" s="1" t="n">
        <v>10</v>
      </c>
      <c r="D11" s="1" t="n">
        <f aca="false">C11-1</f>
        <v>9</v>
      </c>
      <c r="E11" s="1" t="n">
        <f aca="false">A11*B11*D11</f>
        <v>1152</v>
      </c>
    </row>
    <row r="12" customFormat="false" ht="13.8" hidden="false" customHeight="false" outlineLevel="0" collapsed="false">
      <c r="A12" s="1" t="n">
        <f aca="false">24-B12</f>
        <v>15</v>
      </c>
      <c r="B12" s="1" t="n">
        <f aca="false">C12-2</f>
        <v>9</v>
      </c>
      <c r="C12" s="1" t="n">
        <v>11</v>
      </c>
      <c r="D12" s="1" t="n">
        <f aca="false">C12-1</f>
        <v>10</v>
      </c>
      <c r="E12" s="1" t="n">
        <f aca="false">A12*B12*D12</f>
        <v>1350</v>
      </c>
    </row>
    <row r="13" customFormat="false" ht="13.8" hidden="false" customHeight="false" outlineLevel="0" collapsed="false">
      <c r="A13" s="1" t="n">
        <f aca="false">24-B13</f>
        <v>14</v>
      </c>
      <c r="B13" s="1" t="n">
        <f aca="false">C13-2</f>
        <v>10</v>
      </c>
      <c r="C13" s="1" t="n">
        <v>12</v>
      </c>
      <c r="D13" s="1" t="n">
        <f aca="false">C13-1</f>
        <v>11</v>
      </c>
      <c r="E13" s="1" t="n">
        <f aca="false">A13*B13*D13</f>
        <v>1540</v>
      </c>
    </row>
    <row r="14" customFormat="false" ht="13.8" hidden="false" customHeight="false" outlineLevel="0" collapsed="false">
      <c r="A14" s="1" t="n">
        <f aca="false">24-B14</f>
        <v>13</v>
      </c>
      <c r="B14" s="1" t="n">
        <f aca="false">C14-2</f>
        <v>11</v>
      </c>
      <c r="C14" s="1" t="n">
        <v>13</v>
      </c>
      <c r="D14" s="1" t="n">
        <f aca="false">C14-1</f>
        <v>12</v>
      </c>
      <c r="E14" s="1" t="n">
        <f aca="false">A14*B14*D14</f>
        <v>1716</v>
      </c>
    </row>
    <row r="15" customFormat="false" ht="13.8" hidden="false" customHeight="false" outlineLevel="0" collapsed="false">
      <c r="A15" s="1" t="n">
        <f aca="false">24-B15</f>
        <v>12</v>
      </c>
      <c r="B15" s="1" t="n">
        <f aca="false">C15-2</f>
        <v>12</v>
      </c>
      <c r="C15" s="1" t="n">
        <v>14</v>
      </c>
      <c r="D15" s="1" t="n">
        <f aca="false">C15-1</f>
        <v>13</v>
      </c>
      <c r="E15" s="1" t="n">
        <f aca="false">A15*B15*D15</f>
        <v>1872</v>
      </c>
    </row>
    <row r="16" customFormat="false" ht="13.8" hidden="false" customHeight="false" outlineLevel="0" collapsed="false">
      <c r="A16" s="1" t="n">
        <f aca="false">24-B16</f>
        <v>11</v>
      </c>
      <c r="B16" s="1" t="n">
        <f aca="false">C16-2</f>
        <v>13</v>
      </c>
      <c r="C16" s="1" t="n">
        <v>15</v>
      </c>
      <c r="D16" s="1" t="n">
        <f aca="false">C16-1</f>
        <v>14</v>
      </c>
      <c r="E16" s="1" t="n">
        <f aca="false">A16*B16*D16</f>
        <v>2002</v>
      </c>
    </row>
    <row r="17" customFormat="false" ht="13.8" hidden="false" customHeight="false" outlineLevel="0" collapsed="false">
      <c r="A17" s="1" t="n">
        <f aca="false">24-B17</f>
        <v>10</v>
      </c>
      <c r="B17" s="1" t="n">
        <f aca="false">C17-2</f>
        <v>14</v>
      </c>
      <c r="C17" s="1" t="n">
        <v>16</v>
      </c>
      <c r="D17" s="1" t="n">
        <f aca="false">C17-1</f>
        <v>15</v>
      </c>
      <c r="E17" s="1" t="n">
        <f aca="false">A17*B17*D17</f>
        <v>2100</v>
      </c>
    </row>
    <row r="18" customFormat="false" ht="13.8" hidden="false" customHeight="false" outlineLevel="0" collapsed="false">
      <c r="A18" s="1" t="n">
        <f aca="false">24-B18</f>
        <v>9</v>
      </c>
      <c r="B18" s="1" t="n">
        <f aca="false">C18-2</f>
        <v>15</v>
      </c>
      <c r="C18" s="1" t="n">
        <v>17</v>
      </c>
      <c r="D18" s="1" t="n">
        <f aca="false">C18-1</f>
        <v>16</v>
      </c>
      <c r="E18" s="1" t="n">
        <f aca="false">A18*B18*D18</f>
        <v>2160</v>
      </c>
    </row>
    <row r="19" customFormat="false" ht="13.8" hidden="false" customHeight="false" outlineLevel="0" collapsed="false">
      <c r="A19" s="1" t="n">
        <f aca="false">24-B19</f>
        <v>8</v>
      </c>
      <c r="B19" s="1" t="n">
        <f aca="false">C19-2</f>
        <v>16</v>
      </c>
      <c r="C19" s="1" t="n">
        <v>18</v>
      </c>
      <c r="D19" s="1" t="n">
        <f aca="false">C19-1</f>
        <v>17</v>
      </c>
      <c r="E19" s="1" t="n">
        <f aca="false">A19*B19*D19</f>
        <v>2176</v>
      </c>
    </row>
    <row r="20" customFormat="false" ht="13.8" hidden="false" customHeight="false" outlineLevel="0" collapsed="false">
      <c r="A20" s="1" t="n">
        <f aca="false">24-B20</f>
        <v>7</v>
      </c>
      <c r="B20" s="1" t="n">
        <f aca="false">C20-2</f>
        <v>17</v>
      </c>
      <c r="C20" s="1" t="n">
        <v>19</v>
      </c>
      <c r="D20" s="1" t="n">
        <f aca="false">C20-1</f>
        <v>18</v>
      </c>
      <c r="E20" s="1" t="n">
        <f aca="false">A20*B20*D20</f>
        <v>2142</v>
      </c>
    </row>
    <row r="21" customFormat="false" ht="13.8" hidden="false" customHeight="false" outlineLevel="0" collapsed="false">
      <c r="A21" s="1" t="n">
        <f aca="false">24-B21</f>
        <v>6</v>
      </c>
      <c r="B21" s="1" t="n">
        <f aca="false">C21-2</f>
        <v>18</v>
      </c>
      <c r="C21" s="1" t="n">
        <v>20</v>
      </c>
      <c r="D21" s="1" t="n">
        <f aca="false">C21-1</f>
        <v>19</v>
      </c>
      <c r="E21" s="1" t="n">
        <f aca="false">A21*B21*D21</f>
        <v>2052</v>
      </c>
    </row>
    <row r="22" customFormat="false" ht="13.8" hidden="false" customHeight="false" outlineLevel="0" collapsed="false">
      <c r="A22" s="1" t="n">
        <f aca="false">24-B22</f>
        <v>5</v>
      </c>
      <c r="B22" s="1" t="n">
        <f aca="false">C22-2</f>
        <v>19</v>
      </c>
      <c r="C22" s="1" t="n">
        <v>21</v>
      </c>
      <c r="D22" s="1" t="n">
        <f aca="false">C22-1</f>
        <v>20</v>
      </c>
      <c r="E22" s="1" t="n">
        <f aca="false">A22*B22*D22</f>
        <v>1900</v>
      </c>
    </row>
    <row r="23" customFormat="false" ht="13.8" hidden="false" customHeight="false" outlineLevel="0" collapsed="false">
      <c r="A23" s="1" t="n">
        <f aca="false">24-B23</f>
        <v>4</v>
      </c>
      <c r="B23" s="1" t="n">
        <f aca="false">C23-2</f>
        <v>20</v>
      </c>
      <c r="C23" s="1" t="n">
        <v>22</v>
      </c>
      <c r="D23" s="1" t="n">
        <f aca="false">C23-1</f>
        <v>21</v>
      </c>
      <c r="E23" s="1" t="n">
        <f aca="false">A23*B23*D23</f>
        <v>1680</v>
      </c>
    </row>
    <row r="24" customFormat="false" ht="13.8" hidden="false" customHeight="false" outlineLevel="0" collapsed="false">
      <c r="A24" s="1" t="n">
        <f aca="false">24-B24</f>
        <v>3</v>
      </c>
      <c r="B24" s="1" t="n">
        <f aca="false">C24-2</f>
        <v>21</v>
      </c>
      <c r="C24" s="1" t="n">
        <v>23</v>
      </c>
      <c r="D24" s="1" t="n">
        <f aca="false">C24-1</f>
        <v>22</v>
      </c>
      <c r="E24" s="1" t="n">
        <f aca="false">A24*B24*D24</f>
        <v>1386</v>
      </c>
    </row>
    <row r="25" customFormat="false" ht="13.8" hidden="false" customHeight="false" outlineLevel="0" collapsed="false">
      <c r="A25" s="1" t="n">
        <f aca="false">24-B25</f>
        <v>2</v>
      </c>
      <c r="B25" s="1" t="n">
        <f aca="false">C25-2</f>
        <v>22</v>
      </c>
      <c r="C25" s="1" t="n">
        <v>24</v>
      </c>
      <c r="D25" s="1" t="n">
        <f aca="false">C25-1</f>
        <v>23</v>
      </c>
      <c r="E25" s="1" t="n">
        <f aca="false">A25*B25*D25</f>
        <v>1012</v>
      </c>
    </row>
    <row r="26" customFormat="false" ht="13.8" hidden="false" customHeight="false" outlineLevel="0" collapsed="false">
      <c r="A26" s="1" t="n">
        <f aca="false">24-B26</f>
        <v>1</v>
      </c>
      <c r="B26" s="1" t="n">
        <f aca="false">C26-2</f>
        <v>23</v>
      </c>
      <c r="C26" s="1" t="n">
        <v>25</v>
      </c>
      <c r="D26" s="1" t="n">
        <f aca="false">C26-1</f>
        <v>24</v>
      </c>
      <c r="E26" s="1" t="n">
        <f aca="false">A26*B26*D26</f>
        <v>552</v>
      </c>
    </row>
    <row r="27" customFormat="false" ht="13.8" hidden="false" customHeight="false" outlineLevel="0" collapsed="false">
      <c r="A27" s="1" t="n">
        <f aca="false">24-B27</f>
        <v>0</v>
      </c>
      <c r="B27" s="1" t="n">
        <v>24</v>
      </c>
      <c r="C27" s="1" t="n">
        <v>26</v>
      </c>
      <c r="D27" s="1" t="n">
        <v>25</v>
      </c>
      <c r="E27" s="1" t="n">
        <f aca="false">A27*B27*D27</f>
        <v>0</v>
      </c>
    </row>
    <row r="28" customFormat="false" ht="13.8" hidden="false" customHeight="false" outlineLevel="0" collapsed="false">
      <c r="E28" s="1" t="n">
        <f aca="false">SUM(E2:E27)</f>
        <v>29900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5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N30" activeCellId="0" sqref="N30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A1" s="0" t="n">
        <v>3</v>
      </c>
      <c r="B1" s="2" t="s">
        <v>5</v>
      </c>
      <c r="C1" s="2"/>
      <c r="D1" s="2"/>
      <c r="F1" s="0" t="n">
        <v>4</v>
      </c>
      <c r="G1" s="3" t="s">
        <v>6</v>
      </c>
      <c r="H1" s="3"/>
      <c r="I1" s="3"/>
      <c r="J1" s="3"/>
      <c r="L1" s="0" t="n">
        <v>5</v>
      </c>
      <c r="M1" s="4" t="s">
        <v>7</v>
      </c>
      <c r="N1" s="4"/>
      <c r="O1" s="4"/>
      <c r="P1" s="4"/>
      <c r="Q1" s="4"/>
    </row>
    <row r="2" customFormat="false" ht="13.8" hidden="false" customHeight="false" outlineLevel="0" collapsed="false">
      <c r="B2" s="5" t="s">
        <v>8</v>
      </c>
      <c r="C2" s="6" t="n">
        <v>2</v>
      </c>
      <c r="D2" s="6" t="n">
        <v>3</v>
      </c>
      <c r="E2" s="7"/>
      <c r="F2" s="7"/>
      <c r="G2" s="8" t="s">
        <v>8</v>
      </c>
      <c r="H2" s="9" t="n">
        <v>2</v>
      </c>
      <c r="I2" s="9" t="n">
        <v>3</v>
      </c>
      <c r="J2" s="9" t="n">
        <v>4</v>
      </c>
      <c r="M2" s="10" t="s">
        <v>8</v>
      </c>
      <c r="N2" s="11" t="n">
        <v>2</v>
      </c>
      <c r="O2" s="12" t="n">
        <v>3</v>
      </c>
      <c r="P2" s="11" t="n">
        <v>4</v>
      </c>
      <c r="Q2" s="11" t="n">
        <v>5</v>
      </c>
    </row>
    <row r="3" customFormat="false" ht="13.8" hidden="false" customHeight="false" outlineLevel="0" collapsed="false">
      <c r="B3" s="13" t="n">
        <v>1</v>
      </c>
      <c r="C3" s="14" t="n">
        <v>0</v>
      </c>
      <c r="D3" s="14" t="n">
        <v>0</v>
      </c>
      <c r="G3" s="15" t="n">
        <v>1</v>
      </c>
      <c r="H3" s="16" t="n">
        <v>0</v>
      </c>
      <c r="I3" s="9" t="n">
        <v>0</v>
      </c>
      <c r="J3" s="16" t="n">
        <v>0</v>
      </c>
      <c r="M3" s="17" t="n">
        <v>1</v>
      </c>
      <c r="N3" s="18" t="n">
        <v>0</v>
      </c>
      <c r="O3" s="19" t="n">
        <v>0</v>
      </c>
      <c r="P3" s="11" t="n">
        <v>0</v>
      </c>
      <c r="Q3" s="11" t="n">
        <v>0</v>
      </c>
      <c r="R3" s="7"/>
      <c r="S3" s="7"/>
    </row>
    <row r="4" customFormat="false" ht="13.8" hidden="false" customHeight="false" outlineLevel="0" collapsed="false">
      <c r="A4" s="1" t="n">
        <f aca="false">(B4-2)*COMBIN(B4-1, 1)</f>
        <v>0</v>
      </c>
      <c r="B4" s="13" t="n">
        <v>2</v>
      </c>
      <c r="C4" s="14" t="n">
        <v>0</v>
      </c>
      <c r="D4" s="14" t="n">
        <v>24</v>
      </c>
      <c r="G4" s="15" t="n">
        <v>2</v>
      </c>
      <c r="H4" s="16" t="n">
        <v>0</v>
      </c>
      <c r="I4" s="9" t="n">
        <v>0</v>
      </c>
      <c r="J4" s="16" t="n">
        <v>276</v>
      </c>
      <c r="M4" s="17" t="n">
        <v>2</v>
      </c>
      <c r="N4" s="18" t="n">
        <v>0</v>
      </c>
      <c r="O4" s="19" t="n">
        <v>0</v>
      </c>
      <c r="P4" s="11" t="n">
        <v>0</v>
      </c>
      <c r="Q4" s="18" t="n">
        <v>2024</v>
      </c>
    </row>
    <row r="5" customFormat="false" ht="13.8" hidden="false" customHeight="false" outlineLevel="0" collapsed="false">
      <c r="A5" s="1" t="n">
        <f aca="false">(B5-2)*COMBIN(B5-1, 1)</f>
        <v>2</v>
      </c>
      <c r="B5" s="13" t="n">
        <v>3</v>
      </c>
      <c r="C5" s="14" t="n">
        <v>2</v>
      </c>
      <c r="D5" s="14" t="n">
        <v>47</v>
      </c>
      <c r="F5" s="1" t="n">
        <f aca="false">(G5-3)*COMBIN(G5-1, 2)</f>
        <v>0</v>
      </c>
      <c r="G5" s="15" t="n">
        <v>3</v>
      </c>
      <c r="H5" s="16" t="n">
        <v>0</v>
      </c>
      <c r="I5" s="9" t="n">
        <v>46</v>
      </c>
      <c r="J5" s="16" t="n">
        <v>529</v>
      </c>
      <c r="M5" s="17" t="n">
        <v>3</v>
      </c>
      <c r="N5" s="18" t="n">
        <v>0</v>
      </c>
      <c r="O5" s="19" t="n">
        <v>0</v>
      </c>
      <c r="P5" s="11" t="n">
        <v>506</v>
      </c>
      <c r="Q5" s="18" t="n">
        <v>3795</v>
      </c>
      <c r="V5" s="20" t="n">
        <v>529</v>
      </c>
      <c r="W5" s="20" t="n">
        <f aca="false">V5-P5</f>
        <v>23</v>
      </c>
    </row>
    <row r="6" customFormat="false" ht="13.8" hidden="false" customHeight="false" outlineLevel="0" collapsed="false">
      <c r="A6" s="1" t="n">
        <f aca="false">(B6-2)*COMBIN(B6-1, 1)</f>
        <v>6</v>
      </c>
      <c r="B6" s="13" t="n">
        <v>4</v>
      </c>
      <c r="C6" s="14" t="n">
        <v>6</v>
      </c>
      <c r="D6" s="14" t="n">
        <v>69</v>
      </c>
      <c r="F6" s="1" t="n">
        <f aca="false">(G6-3)*COMBIN(G6-1, 2)</f>
        <v>3</v>
      </c>
      <c r="G6" s="15" t="n">
        <v>4</v>
      </c>
      <c r="H6" s="16" t="n">
        <v>3</v>
      </c>
      <c r="I6" s="9" t="n">
        <v>135</v>
      </c>
      <c r="J6" s="16" t="n">
        <v>760</v>
      </c>
      <c r="L6" s="1" t="n">
        <f aca="false">(M6-4)*COMBIN(M6-1, 3)</f>
        <v>0</v>
      </c>
      <c r="M6" s="17" t="n">
        <v>4</v>
      </c>
      <c r="N6" s="18" t="n">
        <v>0</v>
      </c>
      <c r="O6" s="19" t="n">
        <v>66</v>
      </c>
      <c r="P6" s="11" t="n">
        <v>1452</v>
      </c>
      <c r="Q6" s="18" t="n">
        <v>5335</v>
      </c>
      <c r="S6" s="21" t="n">
        <v>69</v>
      </c>
      <c r="T6" s="21" t="n">
        <f aca="false">S6-O6</f>
        <v>3</v>
      </c>
      <c r="V6" s="20" t="n">
        <v>1520</v>
      </c>
      <c r="W6" s="20" t="n">
        <f aca="false">V6-P6</f>
        <v>68</v>
      </c>
    </row>
    <row r="7" customFormat="false" ht="13.8" hidden="false" customHeight="false" outlineLevel="0" collapsed="false">
      <c r="A7" s="1" t="n">
        <f aca="false">(B7-2)*COMBIN(B7-1, 1)</f>
        <v>12</v>
      </c>
      <c r="B7" s="13" t="n">
        <v>5</v>
      </c>
      <c r="C7" s="14" t="n">
        <v>12</v>
      </c>
      <c r="D7" s="14" t="n">
        <v>90</v>
      </c>
      <c r="F7" s="1" t="n">
        <f aca="false">(G7-3)*COMBIN(G7-1, 2)</f>
        <v>12</v>
      </c>
      <c r="G7" s="15" t="n">
        <v>5</v>
      </c>
      <c r="H7" s="16" t="n">
        <v>12</v>
      </c>
      <c r="I7" s="9" t="n">
        <v>264</v>
      </c>
      <c r="J7" s="16" t="n">
        <v>970</v>
      </c>
      <c r="L7" s="1" t="n">
        <f aca="false">(M7-4)*COMBIN(M7-1, 3)</f>
        <v>4</v>
      </c>
      <c r="M7" s="17" t="n">
        <v>5</v>
      </c>
      <c r="N7" s="18" t="n">
        <v>4</v>
      </c>
      <c r="O7" s="19" t="n">
        <v>258</v>
      </c>
      <c r="P7" s="11" t="n">
        <v>2776</v>
      </c>
      <c r="Q7" s="18" t="n">
        <v>6665</v>
      </c>
      <c r="S7" s="21" t="n">
        <v>270</v>
      </c>
      <c r="T7" s="21" t="n">
        <f aca="false">S7-O7</f>
        <v>12</v>
      </c>
      <c r="V7" s="20" t="n">
        <v>2910</v>
      </c>
      <c r="W7" s="20" t="n">
        <f aca="false">V7-P7</f>
        <v>134</v>
      </c>
    </row>
    <row r="8" customFormat="false" ht="13.8" hidden="false" customHeight="false" outlineLevel="0" collapsed="false">
      <c r="A8" s="1" t="n">
        <f aca="false">(B8-2)*COMBIN(B8-1, 1)</f>
        <v>20</v>
      </c>
      <c r="B8" s="13" t="n">
        <v>6</v>
      </c>
      <c r="C8" s="14" t="n">
        <v>20</v>
      </c>
      <c r="D8" s="14" t="n">
        <v>110</v>
      </c>
      <c r="F8" s="1" t="n">
        <f aca="false">(G8-3)*COMBIN(G8-1, 2)</f>
        <v>30</v>
      </c>
      <c r="G8" s="15" t="n">
        <v>6</v>
      </c>
      <c r="H8" s="16" t="n">
        <v>30</v>
      </c>
      <c r="I8" s="9" t="n">
        <v>430</v>
      </c>
      <c r="J8" s="16" t="n">
        <v>1160</v>
      </c>
      <c r="L8" s="1" t="n">
        <f aca="false">(M8-4)*COMBIN(M8-1, 3)</f>
        <v>20</v>
      </c>
      <c r="M8" s="17" t="n">
        <v>6</v>
      </c>
      <c r="N8" s="18" t="n">
        <v>20</v>
      </c>
      <c r="O8" s="19" t="n">
        <v>630</v>
      </c>
      <c r="P8" s="11" t="n">
        <v>4420</v>
      </c>
      <c r="Q8" s="18" t="n">
        <v>7805</v>
      </c>
      <c r="S8" s="21" t="n">
        <v>660</v>
      </c>
      <c r="T8" s="21" t="n">
        <f aca="false">S8-O8</f>
        <v>30</v>
      </c>
      <c r="V8" s="20" t="n">
        <v>4640</v>
      </c>
      <c r="W8" s="20" t="n">
        <f aca="false">V8-P8</f>
        <v>220</v>
      </c>
    </row>
    <row r="9" customFormat="false" ht="13.8" hidden="false" customHeight="false" outlineLevel="0" collapsed="false">
      <c r="A9" s="1" t="n">
        <f aca="false">(B9-2)*COMBIN(B9-1, 1)</f>
        <v>30</v>
      </c>
      <c r="B9" s="13" t="n">
        <v>7</v>
      </c>
      <c r="C9" s="14" t="n">
        <v>30</v>
      </c>
      <c r="D9" s="14" t="n">
        <v>129</v>
      </c>
      <c r="F9" s="1" t="n">
        <f aca="false">(G9-3)*COMBIN(G9-1, 2)</f>
        <v>60</v>
      </c>
      <c r="G9" s="15" t="n">
        <v>7</v>
      </c>
      <c r="H9" s="16" t="n">
        <v>60</v>
      </c>
      <c r="I9" s="9" t="n">
        <v>630</v>
      </c>
      <c r="J9" s="16" t="n">
        <v>1331</v>
      </c>
      <c r="L9" s="1" t="n">
        <f aca="false">(M9-4)*COMBIN(M9-1, 3)</f>
        <v>60</v>
      </c>
      <c r="M9" s="17" t="n">
        <v>7</v>
      </c>
      <c r="N9" s="18" t="n">
        <v>60</v>
      </c>
      <c r="O9" s="19" t="n">
        <v>1230</v>
      </c>
      <c r="P9" s="11" t="n">
        <v>6330</v>
      </c>
      <c r="Q9" s="18" t="n">
        <v>8774</v>
      </c>
      <c r="S9" s="21" t="n">
        <v>1290</v>
      </c>
      <c r="T9" s="21" t="n">
        <f aca="false">S9-O9</f>
        <v>60</v>
      </c>
      <c r="V9" s="20" t="n">
        <v>6655</v>
      </c>
      <c r="W9" s="20" t="n">
        <f aca="false">V9-P9</f>
        <v>325</v>
      </c>
    </row>
    <row r="10" customFormat="false" ht="13.8" hidden="false" customHeight="false" outlineLevel="0" collapsed="false">
      <c r="A10" s="1" t="n">
        <f aca="false">(B10-2)*COMBIN(B10-1, 1)</f>
        <v>42</v>
      </c>
      <c r="B10" s="13" t="n">
        <v>8</v>
      </c>
      <c r="C10" s="14" t="n">
        <v>42</v>
      </c>
      <c r="D10" s="14" t="n">
        <v>147</v>
      </c>
      <c r="F10" s="1" t="n">
        <f aca="false">(G10-3)*COMBIN(G10-1, 2)</f>
        <v>105</v>
      </c>
      <c r="G10" s="15" t="n">
        <v>8</v>
      </c>
      <c r="H10" s="16" t="n">
        <v>105</v>
      </c>
      <c r="I10" s="9" t="n">
        <v>861</v>
      </c>
      <c r="J10" s="16" t="n">
        <v>1484</v>
      </c>
      <c r="L10" s="1" t="n">
        <f aca="false">(M10-4)*COMBIN(M10-1, 3)</f>
        <v>140</v>
      </c>
      <c r="M10" s="17" t="n">
        <v>8</v>
      </c>
      <c r="N10" s="18" t="n">
        <v>140</v>
      </c>
      <c r="O10" s="19" t="n">
        <v>2100</v>
      </c>
      <c r="P10" s="11" t="n">
        <v>8456</v>
      </c>
      <c r="Q10" s="18" t="n">
        <v>9590</v>
      </c>
      <c r="S10" s="21" t="n">
        <v>2205</v>
      </c>
      <c r="T10" s="21" t="n">
        <f aca="false">S10-O10</f>
        <v>105</v>
      </c>
    </row>
    <row r="11" customFormat="false" ht="13.8" hidden="false" customHeight="false" outlineLevel="0" collapsed="false">
      <c r="A11" s="1" t="n">
        <f aca="false">(B11-2)*COMBIN(B11-1, 1)</f>
        <v>56</v>
      </c>
      <c r="B11" s="13" t="n">
        <v>9</v>
      </c>
      <c r="C11" s="14" t="n">
        <v>56</v>
      </c>
      <c r="D11" s="14" t="n">
        <v>164</v>
      </c>
      <c r="F11" s="1" t="n">
        <f aca="false">(G11-3)*COMBIN(G11-1, 2)</f>
        <v>168</v>
      </c>
      <c r="G11" s="15" t="n">
        <v>9</v>
      </c>
      <c r="H11" s="16" t="n">
        <v>168</v>
      </c>
      <c r="I11" s="9" t="n">
        <v>1120</v>
      </c>
      <c r="J11" s="16" t="n">
        <v>1620</v>
      </c>
      <c r="L11" s="1" t="n">
        <f aca="false">(M11-4)*COMBIN(M11-1, 3)</f>
        <v>280</v>
      </c>
      <c r="M11" s="17" t="n">
        <v>9</v>
      </c>
      <c r="N11" s="18" t="n">
        <v>280</v>
      </c>
      <c r="O11" s="19" t="n">
        <v>3276</v>
      </c>
      <c r="P11" s="11" t="n">
        <v>10752</v>
      </c>
      <c r="Q11" s="18" t="n">
        <v>10270</v>
      </c>
      <c r="S11" s="21" t="n">
        <v>3444</v>
      </c>
      <c r="T11" s="21" t="n">
        <f aca="false">S11-O11</f>
        <v>168</v>
      </c>
    </row>
    <row r="12" customFormat="false" ht="13.8" hidden="false" customHeight="false" outlineLevel="0" collapsed="false">
      <c r="A12" s="1" t="n">
        <f aca="false">(B12-2)*COMBIN(B12-1, 1)</f>
        <v>72</v>
      </c>
      <c r="B12" s="13" t="n">
        <v>10</v>
      </c>
      <c r="C12" s="14" t="n">
        <v>72</v>
      </c>
      <c r="D12" s="14" t="n">
        <v>180</v>
      </c>
      <c r="F12" s="1" t="n">
        <f aca="false">(G12-3)*COMBIN(G12-1, 2)</f>
        <v>252</v>
      </c>
      <c r="G12" s="15" t="n">
        <v>10</v>
      </c>
      <c r="H12" s="16" t="n">
        <v>252</v>
      </c>
      <c r="I12" s="9" t="n">
        <v>1404</v>
      </c>
      <c r="J12" s="16" t="n">
        <v>1740</v>
      </c>
      <c r="L12" s="1" t="n">
        <f aca="false">(M12-4)*COMBIN(M12-1, 3)</f>
        <v>504</v>
      </c>
      <c r="M12" s="17" t="n">
        <v>10</v>
      </c>
      <c r="N12" s="18" t="n">
        <v>504</v>
      </c>
      <c r="O12" s="19" t="n">
        <v>4788</v>
      </c>
      <c r="P12" s="11" t="n">
        <v>13176</v>
      </c>
      <c r="Q12" s="18" t="n">
        <v>10830</v>
      </c>
    </row>
    <row r="13" customFormat="false" ht="13.8" hidden="false" customHeight="false" outlineLevel="0" collapsed="false">
      <c r="A13" s="1" t="n">
        <f aca="false">(B13-2)*COMBIN(B13-1, 1)</f>
        <v>90</v>
      </c>
      <c r="B13" s="13" t="n">
        <v>11</v>
      </c>
      <c r="C13" s="14" t="n">
        <v>90</v>
      </c>
      <c r="D13" s="14" t="n">
        <v>195</v>
      </c>
      <c r="F13" s="1" t="n">
        <f aca="false">(G13-3)*COMBIN(G13-1, 2)</f>
        <v>360</v>
      </c>
      <c r="G13" s="15" t="n">
        <v>11</v>
      </c>
      <c r="H13" s="16" t="n">
        <v>360</v>
      </c>
      <c r="I13" s="9" t="n">
        <v>1710</v>
      </c>
      <c r="J13" s="16" t="n">
        <v>1845</v>
      </c>
      <c r="L13" s="1" t="n">
        <f aca="false">(M13-4)*COMBIN(M13-1, 3)</f>
        <v>840</v>
      </c>
      <c r="M13" s="17" t="n">
        <v>11</v>
      </c>
      <c r="N13" s="18" t="n">
        <v>840</v>
      </c>
      <c r="O13" s="19" t="n">
        <v>6660</v>
      </c>
      <c r="P13" s="11" t="n">
        <v>15690</v>
      </c>
      <c r="Q13" s="18" t="n">
        <v>11285</v>
      </c>
    </row>
    <row r="14" customFormat="false" ht="13.8" hidden="false" customHeight="false" outlineLevel="0" collapsed="false">
      <c r="A14" s="1" t="n">
        <f aca="false">(B14-2)*COMBIN(B14-1, 1)</f>
        <v>110</v>
      </c>
      <c r="B14" s="13" t="n">
        <v>12</v>
      </c>
      <c r="C14" s="14" t="n">
        <v>110</v>
      </c>
      <c r="D14" s="14" t="n">
        <v>209</v>
      </c>
      <c r="F14" s="1" t="n">
        <f aca="false">(G14-3)*COMBIN(G14-1, 2)</f>
        <v>495</v>
      </c>
      <c r="G14" s="15" t="n">
        <v>12</v>
      </c>
      <c r="H14" s="16" t="n">
        <v>495</v>
      </c>
      <c r="I14" s="9" t="n">
        <v>2035</v>
      </c>
      <c r="J14" s="16" t="n">
        <v>1936</v>
      </c>
      <c r="L14" s="1" t="n">
        <f aca="false">(M14-4)*COMBIN(M14-1, 3)</f>
        <v>1320</v>
      </c>
      <c r="M14" s="17" t="n">
        <v>12</v>
      </c>
      <c r="N14" s="18" t="n">
        <v>1320</v>
      </c>
      <c r="O14" s="19" t="n">
        <v>8910</v>
      </c>
      <c r="P14" s="11" t="n">
        <v>18260</v>
      </c>
      <c r="Q14" s="18" t="n">
        <v>11649</v>
      </c>
    </row>
    <row r="15" customFormat="false" ht="13.8" hidden="false" customHeight="false" outlineLevel="0" collapsed="false">
      <c r="A15" s="1" t="n">
        <f aca="false">(B15-2)*COMBIN(B15-1, 1)</f>
        <v>132</v>
      </c>
      <c r="B15" s="13" t="n">
        <v>13</v>
      </c>
      <c r="C15" s="14" t="n">
        <v>132</v>
      </c>
      <c r="D15" s="14" t="n">
        <v>222</v>
      </c>
      <c r="F15" s="1" t="n">
        <f aca="false">(G15-3)*COMBIN(G15-1, 2)</f>
        <v>660</v>
      </c>
      <c r="G15" s="15" t="n">
        <v>13</v>
      </c>
      <c r="H15" s="16" t="n">
        <v>660</v>
      </c>
      <c r="I15" s="9" t="n">
        <v>2376</v>
      </c>
      <c r="J15" s="16" t="n">
        <v>2014</v>
      </c>
      <c r="L15" s="1" t="n">
        <f aca="false">(M15-4)*COMBIN(M15-1, 3)</f>
        <v>1980</v>
      </c>
      <c r="M15" s="17" t="n">
        <v>13</v>
      </c>
      <c r="N15" s="18" t="n">
        <v>1980</v>
      </c>
      <c r="O15" s="19" t="n">
        <v>11550</v>
      </c>
      <c r="P15" s="11" t="n">
        <v>20856</v>
      </c>
      <c r="Q15" s="18" t="n">
        <v>11935</v>
      </c>
    </row>
    <row r="16" customFormat="false" ht="13.8" hidden="false" customHeight="false" outlineLevel="0" collapsed="false">
      <c r="A16" s="1" t="n">
        <f aca="false">(B16-2)*COMBIN(B16-1, 1)</f>
        <v>156</v>
      </c>
      <c r="B16" s="13" t="n">
        <v>14</v>
      </c>
      <c r="C16" s="14" t="n">
        <v>156</v>
      </c>
      <c r="D16" s="14" t="n">
        <v>234</v>
      </c>
      <c r="F16" s="1" t="n">
        <f aca="false">(G16-3)*COMBIN(G16-1, 2)</f>
        <v>858</v>
      </c>
      <c r="G16" s="15" t="n">
        <v>14</v>
      </c>
      <c r="H16" s="16" t="n">
        <v>858</v>
      </c>
      <c r="I16" s="9" t="n">
        <v>2730</v>
      </c>
      <c r="J16" s="16" t="n">
        <v>2080</v>
      </c>
      <c r="L16" s="1" t="n">
        <f aca="false">(M16-4)*COMBIN(M16-1, 3)</f>
        <v>2860</v>
      </c>
      <c r="M16" s="17" t="n">
        <v>14</v>
      </c>
      <c r="N16" s="18" t="n">
        <v>2860</v>
      </c>
      <c r="O16" s="19" t="n">
        <v>14586</v>
      </c>
      <c r="P16" s="11" t="n">
        <v>23452</v>
      </c>
      <c r="Q16" s="18" t="n">
        <v>12155</v>
      </c>
    </row>
    <row r="17" customFormat="false" ht="13.8" hidden="false" customHeight="false" outlineLevel="0" collapsed="false">
      <c r="A17" s="1" t="n">
        <f aca="false">(B17-2)*COMBIN(B17-1, 1)</f>
        <v>182</v>
      </c>
      <c r="B17" s="13" t="n">
        <v>15</v>
      </c>
      <c r="C17" s="14" t="n">
        <v>182</v>
      </c>
      <c r="D17" s="14" t="n">
        <v>245</v>
      </c>
      <c r="F17" s="1" t="n">
        <f aca="false">(G17-3)*COMBIN(G17-1, 2)</f>
        <v>1092</v>
      </c>
      <c r="G17" s="15" t="n">
        <v>15</v>
      </c>
      <c r="H17" s="16" t="n">
        <v>1092</v>
      </c>
      <c r="I17" s="9" t="n">
        <v>3094</v>
      </c>
      <c r="J17" s="16" t="n">
        <v>2135</v>
      </c>
      <c r="L17" s="1" t="n">
        <f aca="false">(M17-4)*COMBIN(M17-1, 3)</f>
        <v>4004</v>
      </c>
      <c r="M17" s="17" t="n">
        <v>15</v>
      </c>
      <c r="N17" s="18" t="n">
        <v>4004</v>
      </c>
      <c r="O17" s="19" t="n">
        <v>18018</v>
      </c>
      <c r="P17" s="11" t="n">
        <v>26026</v>
      </c>
      <c r="Q17" s="18" t="n">
        <v>12320</v>
      </c>
    </row>
    <row r="18" customFormat="false" ht="13.8" hidden="false" customHeight="false" outlineLevel="0" collapsed="false">
      <c r="A18" s="1" t="n">
        <f aca="false">(B18-2)*COMBIN(B18-1, 1)</f>
        <v>210</v>
      </c>
      <c r="B18" s="13" t="n">
        <v>16</v>
      </c>
      <c r="C18" s="14" t="n">
        <v>210</v>
      </c>
      <c r="D18" s="14" t="n">
        <v>255</v>
      </c>
      <c r="F18" s="1" t="n">
        <f aca="false">(G18-3)*COMBIN(G18-1, 2)</f>
        <v>1365</v>
      </c>
      <c r="G18" s="15" t="n">
        <v>16</v>
      </c>
      <c r="H18" s="16" t="n">
        <v>1365</v>
      </c>
      <c r="I18" s="9" t="n">
        <v>3465</v>
      </c>
      <c r="J18" s="16" t="n">
        <v>2180</v>
      </c>
      <c r="L18" s="1" t="n">
        <f aca="false">(M18-4)*COMBIN(M18-1, 3)</f>
        <v>5460</v>
      </c>
      <c r="M18" s="17" t="n">
        <v>16</v>
      </c>
      <c r="N18" s="18" t="n">
        <v>5460</v>
      </c>
      <c r="O18" s="19" t="n">
        <v>21840</v>
      </c>
      <c r="P18" s="11" t="n">
        <v>28560</v>
      </c>
      <c r="Q18" s="18" t="n">
        <v>12440</v>
      </c>
    </row>
    <row r="19" customFormat="false" ht="13.8" hidden="false" customHeight="false" outlineLevel="0" collapsed="false">
      <c r="A19" s="1" t="n">
        <f aca="false">(B19-2)*COMBIN(B19-1, 1)</f>
        <v>240</v>
      </c>
      <c r="B19" s="13" t="n">
        <v>17</v>
      </c>
      <c r="C19" s="14" t="n">
        <v>240</v>
      </c>
      <c r="D19" s="14" t="n">
        <v>264</v>
      </c>
      <c r="F19" s="1" t="n">
        <f aca="false">(G19-3)*COMBIN(G19-1, 2)</f>
        <v>1680</v>
      </c>
      <c r="G19" s="15" t="n">
        <v>17</v>
      </c>
      <c r="H19" s="16" t="n">
        <v>1680</v>
      </c>
      <c r="I19" s="9" t="n">
        <v>3840</v>
      </c>
      <c r="J19" s="16" t="n">
        <v>2216</v>
      </c>
      <c r="L19" s="1" t="n">
        <f aca="false">(M19-4)*COMBIN(M19-1, 3)</f>
        <v>7280</v>
      </c>
      <c r="M19" s="17" t="n">
        <v>17</v>
      </c>
      <c r="N19" s="18" t="n">
        <v>7280</v>
      </c>
      <c r="O19" s="19" t="n">
        <v>26040</v>
      </c>
      <c r="P19" s="11" t="n">
        <v>31040</v>
      </c>
      <c r="Q19" s="18" t="n">
        <v>12524</v>
      </c>
    </row>
    <row r="20" customFormat="false" ht="13.8" hidden="false" customHeight="false" outlineLevel="0" collapsed="false">
      <c r="A20" s="1" t="n">
        <f aca="false">(B20-2)*COMBIN(B20-1, 1)</f>
        <v>272</v>
      </c>
      <c r="B20" s="13" t="n">
        <v>18</v>
      </c>
      <c r="C20" s="14" t="n">
        <v>272</v>
      </c>
      <c r="D20" s="14" t="n">
        <v>272</v>
      </c>
      <c r="F20" s="1" t="n">
        <f aca="false">(G20-3)*COMBIN(G20-1, 2)</f>
        <v>2040</v>
      </c>
      <c r="G20" s="15" t="n">
        <v>18</v>
      </c>
      <c r="H20" s="16" t="n">
        <v>2040</v>
      </c>
      <c r="I20" s="9" t="n">
        <v>4216</v>
      </c>
      <c r="J20" s="16" t="n">
        <v>2244</v>
      </c>
      <c r="L20" s="1" t="n">
        <f aca="false">(M20-4)*COMBIN(M20-1, 3)</f>
        <v>9520</v>
      </c>
      <c r="M20" s="17" t="n">
        <v>18</v>
      </c>
      <c r="N20" s="18" t="n">
        <v>9520</v>
      </c>
      <c r="O20" s="19" t="n">
        <v>30600</v>
      </c>
      <c r="P20" s="11" t="n">
        <v>33456</v>
      </c>
      <c r="Q20" s="18" t="n">
        <v>12580</v>
      </c>
    </row>
    <row r="21" customFormat="false" ht="13.8" hidden="false" customHeight="false" outlineLevel="0" collapsed="false">
      <c r="A21" s="1" t="n">
        <f aca="false">(B21-2)*COMBIN(B21-1, 1)</f>
        <v>306</v>
      </c>
      <c r="B21" s="13" t="n">
        <v>19</v>
      </c>
      <c r="C21" s="14" t="n">
        <v>306</v>
      </c>
      <c r="D21" s="14" t="n">
        <v>279</v>
      </c>
      <c r="F21" s="1" t="n">
        <f aca="false">(G21-3)*COMBIN(G21-1, 2)</f>
        <v>2448</v>
      </c>
      <c r="G21" s="15" t="n">
        <v>19</v>
      </c>
      <c r="H21" s="16" t="n">
        <v>2448</v>
      </c>
      <c r="I21" s="9" t="n">
        <v>4590</v>
      </c>
      <c r="J21" s="16" t="n">
        <v>2265</v>
      </c>
      <c r="L21" s="1" t="n">
        <f aca="false">(M21-4)*COMBIN(M21-1, 3)</f>
        <v>12240</v>
      </c>
      <c r="M21" s="17" t="n">
        <v>19</v>
      </c>
      <c r="N21" s="18" t="n">
        <v>12240</v>
      </c>
      <c r="O21" s="19" t="n">
        <v>35496</v>
      </c>
      <c r="P21" s="11" t="n">
        <v>35802</v>
      </c>
      <c r="Q21" s="18" t="n">
        <v>12615</v>
      </c>
    </row>
    <row r="22" customFormat="false" ht="13.8" hidden="false" customHeight="false" outlineLevel="0" collapsed="false">
      <c r="A22" s="1" t="n">
        <f aca="false">(B22-2)*COMBIN(B22-1, 1)</f>
        <v>342</v>
      </c>
      <c r="B22" s="13" t="n">
        <v>20</v>
      </c>
      <c r="C22" s="14" t="n">
        <v>342</v>
      </c>
      <c r="D22" s="14" t="n">
        <v>285</v>
      </c>
      <c r="F22" s="1" t="n">
        <f aca="false">(G22-3)*COMBIN(G22-1, 2)</f>
        <v>2907</v>
      </c>
      <c r="G22" s="15" t="n">
        <v>20</v>
      </c>
      <c r="H22" s="16" t="n">
        <v>2907</v>
      </c>
      <c r="I22" s="9" t="n">
        <v>4959</v>
      </c>
      <c r="J22" s="16" t="n">
        <v>2280</v>
      </c>
      <c r="L22" s="1" t="n">
        <f aca="false">(M22-4)*COMBIN(M22-1, 3)</f>
        <v>15504</v>
      </c>
      <c r="M22" s="17" t="n">
        <v>20</v>
      </c>
      <c r="N22" s="18" t="n">
        <v>15504</v>
      </c>
      <c r="O22" s="19" t="n">
        <v>40698</v>
      </c>
      <c r="P22" s="11" t="n">
        <v>38076</v>
      </c>
      <c r="Q22" s="18" t="n">
        <v>12635</v>
      </c>
    </row>
    <row r="23" customFormat="false" ht="13.8" hidden="false" customHeight="false" outlineLevel="0" collapsed="false">
      <c r="A23" s="1" t="n">
        <f aca="false">(B23-2)*COMBIN(B23-1, 1)</f>
        <v>380</v>
      </c>
      <c r="B23" s="13" t="n">
        <v>21</v>
      </c>
      <c r="C23" s="14" t="n">
        <v>380</v>
      </c>
      <c r="D23" s="14" t="n">
        <v>290</v>
      </c>
      <c r="F23" s="1" t="n">
        <f aca="false">(G23-3)*COMBIN(G23-1, 2)</f>
        <v>3420</v>
      </c>
      <c r="G23" s="15" t="n">
        <v>21</v>
      </c>
      <c r="H23" s="16" t="n">
        <v>3420</v>
      </c>
      <c r="I23" s="9" t="n">
        <v>5320</v>
      </c>
      <c r="J23" s="16" t="n">
        <v>2290</v>
      </c>
      <c r="L23" s="1" t="n">
        <f aca="false">(M23-4)*COMBIN(M23-1, 3)</f>
        <v>19380</v>
      </c>
      <c r="M23" s="17" t="n">
        <v>21</v>
      </c>
      <c r="N23" s="18" t="n">
        <v>19380</v>
      </c>
      <c r="O23" s="19" t="n">
        <v>46170</v>
      </c>
      <c r="P23" s="11" t="n">
        <v>40280</v>
      </c>
      <c r="Q23" s="18" t="n">
        <v>12645</v>
      </c>
    </row>
    <row r="24" customFormat="false" ht="13.8" hidden="false" customHeight="false" outlineLevel="0" collapsed="false">
      <c r="A24" s="1" t="n">
        <f aca="false">(B24-2)*COMBIN(B24-1, 1)</f>
        <v>420</v>
      </c>
      <c r="B24" s="13" t="n">
        <v>22</v>
      </c>
      <c r="C24" s="14" t="n">
        <v>420</v>
      </c>
      <c r="D24" s="14" t="n">
        <v>294</v>
      </c>
      <c r="F24" s="1" t="n">
        <f aca="false">(G24-3)*COMBIN(G24-1, 2)</f>
        <v>3990</v>
      </c>
      <c r="G24" s="15" t="n">
        <v>22</v>
      </c>
      <c r="H24" s="16" t="n">
        <v>3990</v>
      </c>
      <c r="I24" s="9" t="n">
        <v>5670</v>
      </c>
      <c r="J24" s="16" t="n">
        <v>2296</v>
      </c>
      <c r="L24" s="1" t="n">
        <f aca="false">(M24-4)*COMBIN(M24-1, 3)</f>
        <v>23940</v>
      </c>
      <c r="M24" s="17" t="n">
        <v>22</v>
      </c>
      <c r="N24" s="18" t="n">
        <v>23940</v>
      </c>
      <c r="O24" s="19" t="n">
        <v>51870</v>
      </c>
      <c r="P24" s="11" t="n">
        <v>42420</v>
      </c>
      <c r="Q24" s="18" t="n">
        <v>12649</v>
      </c>
    </row>
    <row r="25" customFormat="false" ht="13.8" hidden="false" customHeight="false" outlineLevel="0" collapsed="false">
      <c r="A25" s="1" t="n">
        <f aca="false">(B25-2)*COMBIN(B25-1, 1)</f>
        <v>462</v>
      </c>
      <c r="B25" s="13" t="n">
        <v>23</v>
      </c>
      <c r="C25" s="14" t="n">
        <v>462</v>
      </c>
      <c r="D25" s="14" t="n">
        <v>297</v>
      </c>
      <c r="F25" s="1" t="n">
        <f aca="false">(G25-3)*COMBIN(G25-1, 2)</f>
        <v>4620</v>
      </c>
      <c r="G25" s="15" t="n">
        <v>23</v>
      </c>
      <c r="H25" s="16" t="n">
        <v>4620</v>
      </c>
      <c r="I25" s="9" t="n">
        <v>6006</v>
      </c>
      <c r="J25" s="16" t="n">
        <v>2299</v>
      </c>
      <c r="L25" s="1" t="n">
        <f aca="false">(M25-4)*COMBIN(M25-1, 3)</f>
        <v>29260</v>
      </c>
      <c r="M25" s="17" t="n">
        <v>23</v>
      </c>
      <c r="N25" s="18" t="n">
        <v>29260</v>
      </c>
      <c r="O25" s="19" t="n">
        <v>57750</v>
      </c>
      <c r="P25" s="11" t="n">
        <v>44506</v>
      </c>
      <c r="Q25" s="18" t="n">
        <v>12650</v>
      </c>
    </row>
    <row r="26" customFormat="false" ht="13.8" hidden="false" customHeight="false" outlineLevel="0" collapsed="false">
      <c r="A26" s="1" t="n">
        <f aca="false">(B26-2)*COMBIN(B26-1, 1)</f>
        <v>506</v>
      </c>
      <c r="B26" s="13" t="n">
        <v>24</v>
      </c>
      <c r="C26" s="14" t="n">
        <v>506</v>
      </c>
      <c r="D26" s="14" t="n">
        <v>299</v>
      </c>
      <c r="F26" s="1" t="n">
        <f aca="false">(G26-3)*COMBIN(G26-1, 2)</f>
        <v>5313</v>
      </c>
      <c r="G26" s="15" t="n">
        <v>24</v>
      </c>
      <c r="H26" s="16" t="n">
        <v>5313</v>
      </c>
      <c r="I26" s="9" t="n">
        <v>6325</v>
      </c>
      <c r="J26" s="16" t="n">
        <v>2300</v>
      </c>
      <c r="L26" s="1" t="n">
        <f aca="false">(M26-4)*COMBIN(M26-1, 3)</f>
        <v>35420</v>
      </c>
      <c r="M26" s="17" t="n">
        <v>24</v>
      </c>
      <c r="N26" s="18" t="n">
        <v>35420</v>
      </c>
      <c r="O26" s="19" t="n">
        <v>63756</v>
      </c>
      <c r="P26" s="11" t="n">
        <v>46552</v>
      </c>
      <c r="Q26" s="18" t="n">
        <v>12650</v>
      </c>
    </row>
    <row r="27" customFormat="false" ht="13.8" hidden="false" customHeight="false" outlineLevel="0" collapsed="false">
      <c r="A27" s="1" t="n">
        <f aca="false">(B27-2)*COMBIN(B27-1, 1)</f>
        <v>552</v>
      </c>
      <c r="B27" s="13" t="n">
        <v>25</v>
      </c>
      <c r="C27" s="14" t="n">
        <v>552</v>
      </c>
      <c r="D27" s="14" t="n">
        <v>300</v>
      </c>
      <c r="F27" s="1" t="n">
        <f aca="false">(G27-3)*COMBIN(G27-1, 2)</f>
        <v>6072</v>
      </c>
      <c r="G27" s="15" t="n">
        <v>25</v>
      </c>
      <c r="H27" s="16" t="n">
        <v>6072</v>
      </c>
      <c r="I27" s="9" t="n">
        <v>6624</v>
      </c>
      <c r="J27" s="16" t="n">
        <v>2300</v>
      </c>
      <c r="L27" s="1" t="n">
        <f aca="false">(M27-4)*COMBIN(M27-1, 3)</f>
        <v>42504</v>
      </c>
      <c r="M27" s="17" t="n">
        <v>25</v>
      </c>
      <c r="N27" s="18" t="n">
        <v>42504</v>
      </c>
      <c r="O27" s="19" t="n">
        <v>69828</v>
      </c>
      <c r="P27" s="11" t="n">
        <v>48576</v>
      </c>
      <c r="Q27" s="18" t="n">
        <v>12650</v>
      </c>
    </row>
    <row r="28" customFormat="false" ht="13.8" hidden="false" customHeight="false" outlineLevel="0" collapsed="false">
      <c r="A28" s="1" t="n">
        <f aca="false">(B28-2)*COMBIN(B28-1, 1)</f>
        <v>600</v>
      </c>
      <c r="B28" s="13" t="n">
        <v>26</v>
      </c>
      <c r="C28" s="14" t="n">
        <v>600</v>
      </c>
      <c r="D28" s="14" t="n">
        <v>300</v>
      </c>
      <c r="F28" s="1" t="n">
        <f aca="false">(G28-3)*COMBIN(G28-1, 2)</f>
        <v>6900</v>
      </c>
      <c r="G28" s="15" t="n">
        <v>26</v>
      </c>
      <c r="H28" s="16" t="n">
        <v>6900</v>
      </c>
      <c r="I28" s="9" t="n">
        <v>6900</v>
      </c>
      <c r="J28" s="16" t="n">
        <v>2300</v>
      </c>
      <c r="L28" s="1" t="n">
        <f aca="false">(M28-4)*COMBIN(M28-1, 3)</f>
        <v>50600</v>
      </c>
      <c r="M28" s="17" t="n">
        <v>26</v>
      </c>
      <c r="N28" s="18" t="n">
        <v>50600</v>
      </c>
      <c r="O28" s="19" t="n">
        <v>75900</v>
      </c>
      <c r="P28" s="11" t="n">
        <v>50600</v>
      </c>
      <c r="Q28" s="18" t="n">
        <v>12650</v>
      </c>
    </row>
    <row r="29" customFormat="false" ht="13.8" hidden="false" customHeight="false" outlineLevel="0" collapsed="false">
      <c r="B29" s="13"/>
      <c r="C29" s="14" t="n">
        <v>5200</v>
      </c>
      <c r="D29" s="14" t="n">
        <v>5200</v>
      </c>
      <c r="E29" s="22" t="n">
        <v>10400</v>
      </c>
      <c r="G29" s="15"/>
      <c r="H29" s="16" t="n">
        <v>44850</v>
      </c>
      <c r="I29" s="9" t="n">
        <v>74750</v>
      </c>
      <c r="J29" s="16" t="n">
        <v>44850</v>
      </c>
      <c r="K29" s="22" t="n">
        <v>164450</v>
      </c>
      <c r="M29" s="17"/>
      <c r="N29" s="18" t="n">
        <f aca="false">SUM(N3:N28)</f>
        <v>263120</v>
      </c>
      <c r="O29" s="19" t="n">
        <f aca="false">SUM(O3:O28)</f>
        <v>592020</v>
      </c>
      <c r="P29" s="11" t="n">
        <f aca="false">SUM(P3:P28)</f>
        <v>592020</v>
      </c>
      <c r="Q29" s="18" t="n">
        <f aca="false">SUM(Q3:Q28)</f>
        <v>263120</v>
      </c>
      <c r="R29" s="22" t="n">
        <f aca="false">SUM(N29:Q29)</f>
        <v>1710280</v>
      </c>
    </row>
    <row r="30" customFormat="false" ht="13.8" hidden="false" customHeight="false" outlineLevel="0" collapsed="false">
      <c r="H30" s="0" t="n">
        <f aca="false">COMBIN(26,$F$1)*COMBIN($F$1-1,H2-1)</f>
        <v>44850</v>
      </c>
      <c r="I30" s="0" t="n">
        <f aca="false">COMBIN(26,$F$1)*COMBIN($F$1-1,I2-1)</f>
        <v>44850</v>
      </c>
      <c r="J30" s="0" t="n">
        <f aca="false">COMBIN(26,$F$1)*COMBIN($F$1-1,J2-1)</f>
        <v>14950</v>
      </c>
      <c r="K30" s="0" t="n">
        <f aca="false">K29/2</f>
        <v>82225</v>
      </c>
      <c r="N30" s="0" t="n">
        <f aca="false">COMBIN(26,$L$1)*COMBIN($L$1-1,N2-1)</f>
        <v>263120</v>
      </c>
      <c r="O30" s="0" t="n">
        <f aca="false">COMBIN(26,$L$1)*COMBIN($L$1-1,O2-1)</f>
        <v>394680</v>
      </c>
      <c r="P30" s="0" t="n">
        <f aca="false">COMBIN(26,$L$1)*COMBIN($L$1-1,P2-1)</f>
        <v>263120</v>
      </c>
      <c r="Q30" s="0" t="n">
        <f aca="false">COMBIN(26,$L$1)*COMBIN($L$1-1,Q2-1)</f>
        <v>65780</v>
      </c>
    </row>
    <row r="31" customFormat="false" ht="13.8" hidden="false" customHeight="false" outlineLevel="0" collapsed="false">
      <c r="J31" s="0" t="n">
        <f aca="false">I29/J30</f>
        <v>5</v>
      </c>
      <c r="L31" s="23" t="s">
        <v>9</v>
      </c>
      <c r="M31" s="23" t="s">
        <v>10</v>
      </c>
      <c r="N31" s="23" t="s">
        <v>11</v>
      </c>
    </row>
    <row r="32" customFormat="false" ht="13.8" hidden="false" customHeight="false" outlineLevel="0" collapsed="false">
      <c r="A32" s="0" t="s">
        <v>12</v>
      </c>
      <c r="C32" s="0" t="s">
        <v>13</v>
      </c>
      <c r="E32" s="0" t="n">
        <v>29645</v>
      </c>
      <c r="J32" s="0" t="n">
        <f aca="false">K32*O32</f>
        <v>0</v>
      </c>
      <c r="K32" s="0" t="n">
        <v>22</v>
      </c>
      <c r="L32" s="0" t="n">
        <v>3</v>
      </c>
      <c r="M32" s="0" t="n">
        <v>4</v>
      </c>
      <c r="N32" s="0" t="n">
        <v>1</v>
      </c>
      <c r="O32" s="0" t="n">
        <v>0</v>
      </c>
    </row>
    <row r="33" customFormat="false" ht="13.8" hidden="false" customHeight="false" outlineLevel="0" collapsed="false">
      <c r="A33" s="0" t="s">
        <v>12</v>
      </c>
      <c r="C33" s="0" t="s">
        <v>13</v>
      </c>
      <c r="E33" s="0" t="n">
        <v>67045</v>
      </c>
      <c r="J33" s="0" t="n">
        <f aca="false">K33*O33</f>
        <v>44</v>
      </c>
      <c r="K33" s="0" t="n">
        <v>22</v>
      </c>
      <c r="L33" s="0" t="n">
        <v>2</v>
      </c>
      <c r="M33" s="0" t="n">
        <v>4</v>
      </c>
      <c r="N33" s="0" t="n">
        <v>3</v>
      </c>
      <c r="O33" s="0" t="n">
        <v>2</v>
      </c>
    </row>
    <row r="34" customFormat="false" ht="13.8" hidden="false" customHeight="false" outlineLevel="0" collapsed="false">
      <c r="A34" s="0" t="s">
        <v>12</v>
      </c>
      <c r="C34" s="0" t="s">
        <v>13</v>
      </c>
      <c r="E34" s="0" t="n">
        <v>61985</v>
      </c>
      <c r="J34" s="0" t="n">
        <f aca="false">K34*O34</f>
        <v>0</v>
      </c>
      <c r="K34" s="0" t="n">
        <v>0</v>
      </c>
      <c r="L34" s="0" t="n">
        <v>1</v>
      </c>
      <c r="M34" s="0" t="n">
        <v>4</v>
      </c>
      <c r="N34" s="0" t="n">
        <v>3</v>
      </c>
      <c r="O34" s="0" t="n">
        <v>2</v>
      </c>
    </row>
    <row r="35" customFormat="false" ht="13.8" hidden="false" customHeight="false" outlineLevel="0" collapsed="false">
      <c r="A35" s="0" t="s">
        <v>12</v>
      </c>
      <c r="C35" s="0" t="s">
        <v>13</v>
      </c>
      <c r="E35" s="0" t="n">
        <v>33649</v>
      </c>
      <c r="J35" s="0" t="n">
        <f aca="false">K35*O35</f>
        <v>22</v>
      </c>
      <c r="K35" s="0" t="n">
        <v>22</v>
      </c>
      <c r="L35" s="0" t="n">
        <v>3</v>
      </c>
      <c r="M35" s="0" t="n">
        <v>4</v>
      </c>
      <c r="N35" s="0" t="n">
        <v>2</v>
      </c>
      <c r="O35" s="0" t="n">
        <v>1</v>
      </c>
    </row>
    <row r="40" customFormat="false" ht="13.8" hidden="false" customHeight="false" outlineLevel="0" collapsed="false">
      <c r="L40" s="23" t="s">
        <v>9</v>
      </c>
      <c r="M40" s="23" t="s">
        <v>10</v>
      </c>
      <c r="N40" s="23" t="s">
        <v>11</v>
      </c>
    </row>
    <row r="41" customFormat="false" ht="13.8" hidden="false" customHeight="false" outlineLevel="0" collapsed="false">
      <c r="J41" s="0" t="n">
        <f aca="false">K41*O41</f>
        <v>0</v>
      </c>
      <c r="K41" s="0" t="n">
        <v>21</v>
      </c>
      <c r="L41" s="0" t="n">
        <v>4</v>
      </c>
      <c r="M41" s="0" t="n">
        <v>5</v>
      </c>
      <c r="N41" s="0" t="n">
        <v>1</v>
      </c>
      <c r="O41" s="0" t="n">
        <v>0</v>
      </c>
    </row>
    <row r="42" customFormat="false" ht="13.8" hidden="false" customHeight="false" outlineLevel="0" collapsed="false">
      <c r="J42" s="24" t="n">
        <f aca="false">K42*O42</f>
        <v>22</v>
      </c>
      <c r="K42" s="24" t="n">
        <v>22</v>
      </c>
      <c r="L42" s="24" t="n">
        <v>4</v>
      </c>
      <c r="M42" s="24" t="n">
        <v>5</v>
      </c>
      <c r="N42" s="24" t="n">
        <v>2</v>
      </c>
      <c r="O42" s="24" t="n">
        <v>1</v>
      </c>
    </row>
    <row r="43" customFormat="false" ht="13.8" hidden="false" customHeight="false" outlineLevel="0" collapsed="false">
      <c r="J43" s="24" t="n">
        <f aca="false">K43*O43</f>
        <v>44</v>
      </c>
      <c r="K43" s="24" t="n">
        <v>22</v>
      </c>
      <c r="L43" s="24" t="n">
        <v>4</v>
      </c>
      <c r="M43" s="24" t="n">
        <v>5</v>
      </c>
      <c r="N43" s="24" t="n">
        <v>3</v>
      </c>
      <c r="O43" s="24" t="n">
        <v>2</v>
      </c>
    </row>
    <row r="44" customFormat="false" ht="13.8" hidden="false" customHeight="false" outlineLevel="0" collapsed="false">
      <c r="J44" s="24" t="n">
        <f aca="false">K44*O44</f>
        <v>63</v>
      </c>
      <c r="K44" s="24" t="n">
        <v>21</v>
      </c>
      <c r="L44" s="24" t="n">
        <v>2</v>
      </c>
      <c r="M44" s="24" t="n">
        <v>5</v>
      </c>
      <c r="N44" s="24" t="n">
        <v>4</v>
      </c>
      <c r="O44" s="24" t="n">
        <v>3</v>
      </c>
    </row>
    <row r="45" customFormat="false" ht="13.8" hidden="false" customHeight="false" outlineLevel="0" collapsed="false">
      <c r="J45" s="24" t="n">
        <f aca="false">K45*O45</f>
        <v>22</v>
      </c>
      <c r="K45" s="24" t="n">
        <v>22</v>
      </c>
      <c r="L45" s="24" t="n">
        <v>2</v>
      </c>
      <c r="M45" s="24" t="n">
        <v>5</v>
      </c>
      <c r="N45" s="24" t="n">
        <v>2</v>
      </c>
      <c r="O45" s="24" t="n">
        <v>1</v>
      </c>
    </row>
    <row r="46" customFormat="false" ht="13.8" hidden="false" customHeight="false" outlineLevel="0" collapsed="false">
      <c r="J46" s="0" t="n">
        <f aca="false">K46*O46</f>
        <v>0</v>
      </c>
      <c r="K46" s="0" t="n">
        <v>0</v>
      </c>
      <c r="L46" s="0" t="n">
        <v>2</v>
      </c>
      <c r="M46" s="0" t="n">
        <v>5</v>
      </c>
      <c r="N46" s="0" t="n">
        <v>1</v>
      </c>
      <c r="O46" s="0" t="n">
        <v>0</v>
      </c>
    </row>
    <row r="47" customFormat="false" ht="13.8" hidden="false" customHeight="false" outlineLevel="0" collapsed="false">
      <c r="J47" s="24" t="n">
        <f aca="false">K47*O47</f>
        <v>63</v>
      </c>
      <c r="K47" s="24" t="n">
        <v>21</v>
      </c>
      <c r="L47" s="24" t="n">
        <v>2</v>
      </c>
      <c r="M47" s="24" t="n">
        <v>5</v>
      </c>
      <c r="N47" s="24" t="n">
        <v>4</v>
      </c>
      <c r="O47" s="24" t="n">
        <v>3</v>
      </c>
    </row>
    <row r="48" customFormat="false" ht="13.8" hidden="false" customHeight="false" outlineLevel="0" collapsed="false">
      <c r="J48" s="24" t="n">
        <f aca="false">K48*O48</f>
        <v>44</v>
      </c>
      <c r="K48" s="24" t="n">
        <v>22</v>
      </c>
      <c r="L48" s="24" t="n">
        <v>2</v>
      </c>
      <c r="M48" s="24" t="n">
        <v>5</v>
      </c>
      <c r="N48" s="24" t="n">
        <v>3</v>
      </c>
      <c r="O48" s="24" t="n">
        <v>2</v>
      </c>
    </row>
    <row r="49" customFormat="false" ht="13.8" hidden="false" customHeight="false" outlineLevel="0" collapsed="false">
      <c r="J49" s="0" t="n">
        <f aca="false">K49*O49</f>
        <v>0</v>
      </c>
      <c r="K49" s="0" t="n">
        <v>0</v>
      </c>
      <c r="L49" s="0" t="n">
        <v>2</v>
      </c>
      <c r="M49" s="0" t="n">
        <v>5</v>
      </c>
      <c r="N49" s="0" t="n">
        <v>1</v>
      </c>
      <c r="O49" s="0" t="n">
        <v>0</v>
      </c>
    </row>
    <row r="50" customFormat="false" ht="13.8" hidden="false" customHeight="false" outlineLevel="0" collapsed="false">
      <c r="J50" s="0" t="n">
        <f aca="false">K50*O50</f>
        <v>0</v>
      </c>
      <c r="K50" s="0" t="n">
        <v>0</v>
      </c>
      <c r="L50" s="0" t="n">
        <v>1</v>
      </c>
      <c r="M50" s="0" t="n">
        <v>5</v>
      </c>
      <c r="N50" s="0" t="n">
        <v>4</v>
      </c>
      <c r="O50" s="0" t="n">
        <v>3</v>
      </c>
    </row>
    <row r="51" customFormat="false" ht="13.8" hidden="false" customHeight="false" outlineLevel="0" collapsed="false">
      <c r="J51" s="0" t="n">
        <f aca="false">K51*O51</f>
        <v>0</v>
      </c>
      <c r="K51" s="0" t="n">
        <v>0</v>
      </c>
      <c r="L51" s="0" t="n">
        <v>1</v>
      </c>
      <c r="M51" s="0" t="n">
        <v>5</v>
      </c>
      <c r="N51" s="0" t="n">
        <v>3</v>
      </c>
      <c r="O51" s="0" t="n">
        <v>2</v>
      </c>
    </row>
    <row r="52" customFormat="false" ht="13.8" hidden="false" customHeight="false" outlineLevel="0" collapsed="false">
      <c r="J52" s="0" t="n">
        <f aca="false">K52*O52</f>
        <v>0</v>
      </c>
      <c r="K52" s="0" t="n">
        <v>0</v>
      </c>
      <c r="L52" s="0" t="n">
        <v>1</v>
      </c>
      <c r="M52" s="0" t="n">
        <v>5</v>
      </c>
      <c r="N52" s="0" t="n">
        <v>2</v>
      </c>
      <c r="O52" s="0" t="n">
        <v>1</v>
      </c>
    </row>
    <row r="53" customFormat="false" ht="13.8" hidden="false" customHeight="false" outlineLevel="0" collapsed="false">
      <c r="J53" s="0" t="n">
        <f aca="false">SUM(J41:J52)</f>
        <v>258</v>
      </c>
    </row>
  </sheetData>
  <mergeCells count="3">
    <mergeCell ref="B1:D1"/>
    <mergeCell ref="G1:J1"/>
    <mergeCell ref="M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cols>
    <col collapsed="false" customWidth="true" hidden="false" outlineLevel="0" max="3" min="3" style="1" width="14"/>
    <col collapsed="false" customWidth="true" hidden="false" outlineLevel="0" max="4" min="4" style="1" width="49.55"/>
    <col collapsed="false" customWidth="true" hidden="false" outlineLevel="0" max="8" min="5" style="1" width="12"/>
  </cols>
  <sheetData>
    <row r="2" customFormat="false" ht="13.8" hidden="false" customHeight="false" outlineLevel="0" collapsed="false">
      <c r="B2" s="25"/>
      <c r="C2" s="25"/>
      <c r="D2" s="25"/>
      <c r="E2" s="25"/>
      <c r="F2" s="25"/>
      <c r="G2" s="25"/>
      <c r="H2" s="25"/>
    </row>
    <row r="3" customFormat="false" ht="28.35" hidden="false" customHeight="false" outlineLevel="0" collapsed="false">
      <c r="B3" s="25"/>
      <c r="C3" s="26" t="s">
        <v>14</v>
      </c>
      <c r="D3" s="27" t="s">
        <v>15</v>
      </c>
      <c r="E3" s="28" t="s">
        <v>16</v>
      </c>
      <c r="F3" s="29" t="s">
        <v>17</v>
      </c>
      <c r="G3" s="29" t="s">
        <v>18</v>
      </c>
      <c r="H3" s="29" t="s">
        <v>19</v>
      </c>
    </row>
    <row r="4" customFormat="false" ht="13.8" hidden="false" customHeight="false" outlineLevel="0" collapsed="false">
      <c r="B4" s="25"/>
      <c r="C4" s="30" t="n">
        <v>1</v>
      </c>
      <c r="D4" s="31" t="s">
        <v>20</v>
      </c>
      <c r="E4" s="32" t="n">
        <v>0.523</v>
      </c>
      <c r="F4" s="30" t="n">
        <v>0</v>
      </c>
      <c r="G4" s="30" t="n">
        <f aca="false">0.00015+com.sun.star.sheet.addin.analysis.getrandbetween(-10,10)/100000</f>
        <v>0.00021</v>
      </c>
      <c r="H4" s="30" t="s">
        <v>21</v>
      </c>
    </row>
    <row r="5" customFormat="false" ht="13.8" hidden="false" customHeight="false" outlineLevel="0" collapsed="false">
      <c r="B5" s="25"/>
      <c r="C5" s="30" t="n">
        <v>2</v>
      </c>
      <c r="D5" s="31" t="s">
        <v>22</v>
      </c>
      <c r="E5" s="32" t="n">
        <f aca="false">E$4+com.sun.star.sheet.addin.analysis.getrandbetween(-100,100)/1000</f>
        <v>0.51</v>
      </c>
      <c r="F5" s="30" t="n">
        <v>0</v>
      </c>
      <c r="G5" s="30" t="n">
        <f aca="false">0.00015+com.sun.star.sheet.addin.analysis.getrandbetween(-10,10)/100000</f>
        <v>5E-005</v>
      </c>
      <c r="H5" s="30" t="s">
        <v>21</v>
      </c>
    </row>
    <row r="6" customFormat="false" ht="13.8" hidden="false" customHeight="false" outlineLevel="0" collapsed="false">
      <c r="B6" s="25"/>
      <c r="C6" s="30" t="n">
        <v>3</v>
      </c>
      <c r="D6" s="31" t="s">
        <v>23</v>
      </c>
      <c r="E6" s="32" t="n">
        <f aca="false">E$4+com.sun.star.sheet.addin.analysis.getrandbetween(-100,100)/1000</f>
        <v>0.553</v>
      </c>
      <c r="F6" s="33" t="n">
        <v>5</v>
      </c>
      <c r="G6" s="30" t="n">
        <f aca="false">0.00015+com.sun.star.sheet.addin.analysis.getrandbetween(-10,10)/100000</f>
        <v>0.00023</v>
      </c>
      <c r="H6" s="30" t="s">
        <v>21</v>
      </c>
    </row>
    <row r="7" customFormat="false" ht="13.8" hidden="false" customHeight="false" outlineLevel="0" collapsed="false">
      <c r="B7" s="25"/>
      <c r="C7" s="30" t="n">
        <v>4</v>
      </c>
      <c r="D7" s="31" t="s">
        <v>24</v>
      </c>
      <c r="E7" s="34" t="n">
        <f aca="false">E$4+0.7</f>
        <v>1.223</v>
      </c>
      <c r="F7" s="30" t="n">
        <v>0</v>
      </c>
      <c r="G7" s="30" t="n">
        <f aca="false">0.00015+com.sun.star.sheet.addin.analysis.getrandbetween(-10,10)/100000</f>
        <v>0.00015</v>
      </c>
      <c r="H7" s="30" t="s">
        <v>21</v>
      </c>
    </row>
    <row r="8" customFormat="false" ht="13.8" hidden="false" customHeight="false" outlineLevel="0" collapsed="false">
      <c r="B8" s="25"/>
      <c r="C8" s="30" t="n">
        <v>5</v>
      </c>
      <c r="D8" s="31" t="s">
        <v>25</v>
      </c>
      <c r="E8" s="32" t="n">
        <f aca="false">E$4+com.sun.star.sheet.addin.analysis.getrandbetween(-100,100)/1000</f>
        <v>0.423</v>
      </c>
      <c r="F8" s="30" t="n">
        <v>0</v>
      </c>
      <c r="G8" s="30" t="n">
        <f aca="false">0.00015+com.sun.star.sheet.addin.analysis.getrandbetween(-10,10)/100000</f>
        <v>0.00023</v>
      </c>
      <c r="H8" s="33" t="n">
        <v>-2</v>
      </c>
    </row>
    <row r="9" customFormat="false" ht="13.8" hidden="false" customHeight="false" outlineLevel="0" collapsed="false">
      <c r="B9" s="25"/>
      <c r="C9" s="30" t="n">
        <v>6</v>
      </c>
      <c r="D9" s="31" t="s">
        <v>26</v>
      </c>
      <c r="E9" s="32" t="n">
        <f aca="false">E$4+com.sun.star.sheet.addin.analysis.getrandbetween(-100,100)/1000</f>
        <v>0.49</v>
      </c>
      <c r="F9" s="30" t="n">
        <v>0</v>
      </c>
      <c r="G9" s="30" t="n">
        <f aca="false">0.00015+com.sun.star.sheet.addin.analysis.getrandbetween(-10,10)/100000</f>
        <v>0.00025</v>
      </c>
      <c r="H9" s="30" t="s">
        <v>21</v>
      </c>
    </row>
    <row r="10" customFormat="false" ht="13.8" hidden="false" customHeight="false" outlineLevel="0" collapsed="false">
      <c r="B10" s="25"/>
      <c r="C10" s="30" t="n">
        <v>7</v>
      </c>
      <c r="D10" s="31" t="s">
        <v>27</v>
      </c>
      <c r="E10" s="32" t="n">
        <f aca="false">E$4+com.sun.star.sheet.addin.analysis.getrandbetween(-100,100)/1000</f>
        <v>0.544</v>
      </c>
      <c r="F10" s="30" t="n">
        <v>0</v>
      </c>
      <c r="G10" s="30" t="n">
        <f aca="false">0.00015+com.sun.star.sheet.addin.analysis.getrandbetween(-10,10)/100000</f>
        <v>9E-005</v>
      </c>
      <c r="H10" s="30" t="s">
        <v>21</v>
      </c>
    </row>
    <row r="11" customFormat="false" ht="13.8" hidden="false" customHeight="false" outlineLevel="0" collapsed="false">
      <c r="B11" s="25"/>
      <c r="C11" s="30" t="n">
        <v>8</v>
      </c>
      <c r="D11" s="31" t="s">
        <v>28</v>
      </c>
      <c r="E11" s="32" t="n">
        <f aca="false">E$4+com.sun.star.sheet.addin.analysis.getrandbetween(-100,100)/1000</f>
        <v>0.603</v>
      </c>
      <c r="F11" s="30" t="n">
        <v>0</v>
      </c>
      <c r="G11" s="30" t="n">
        <f aca="false">0.00015+com.sun.star.sheet.addin.analysis.getrandbetween(-10,10)/100000</f>
        <v>0.0002</v>
      </c>
      <c r="H11" s="30" t="s">
        <v>21</v>
      </c>
    </row>
    <row r="12" customFormat="false" ht="13.8" hidden="false" customHeight="false" outlineLevel="0" collapsed="false">
      <c r="B12" s="25"/>
      <c r="C12" s="25"/>
      <c r="D12" s="25"/>
      <c r="E12" s="25"/>
      <c r="F12" s="25"/>
      <c r="G12" s="30"/>
      <c r="H12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9.16015625" defaultRowHeight="12.8" zeroHeight="false" outlineLevelRow="0" outlineLevelCol="0"/>
  <cols>
    <col collapsed="false" customWidth="true" hidden="false" outlineLevel="0" max="1" min="1" style="0" width="6.61"/>
    <col collapsed="false" customWidth="true" hidden="false" outlineLevel="0" max="8" min="2" style="0" width="11.79"/>
    <col collapsed="false" customWidth="true" hidden="false" outlineLevel="0" max="9" min="9" style="0" width="3.86"/>
    <col collapsed="false" customWidth="true" hidden="false" outlineLevel="0" max="16" min="11" style="0" width="9.81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10" t="s">
        <v>8</v>
      </c>
      <c r="B2" s="11" t="n">
        <v>2</v>
      </c>
      <c r="C2" s="12" t="n">
        <v>3</v>
      </c>
      <c r="D2" s="11" t="n">
        <v>4</v>
      </c>
      <c r="E2" s="11" t="n">
        <v>5</v>
      </c>
      <c r="F2" s="11" t="n">
        <v>6</v>
      </c>
      <c r="G2" s="11" t="n">
        <v>7</v>
      </c>
      <c r="K2" s="0" t="n">
        <v>2</v>
      </c>
      <c r="L2" s="0" t="n">
        <v>3</v>
      </c>
      <c r="M2" s="0" t="n">
        <v>4</v>
      </c>
      <c r="N2" s="0" t="n">
        <v>5</v>
      </c>
      <c r="O2" s="0" t="n">
        <v>6</v>
      </c>
      <c r="P2" s="0" t="n">
        <v>7</v>
      </c>
    </row>
    <row r="3" customFormat="false" ht="13.8" hidden="false" customHeight="false" outlineLevel="0" collapsed="false">
      <c r="A3" s="0" t="n">
        <v>1</v>
      </c>
      <c r="B3" s="0" t="n">
        <v>0</v>
      </c>
      <c r="C3" s="21" t="n">
        <v>0</v>
      </c>
      <c r="D3" s="21" t="n">
        <v>0</v>
      </c>
      <c r="E3" s="21" t="n">
        <v>0</v>
      </c>
      <c r="F3" s="0" t="n">
        <v>0</v>
      </c>
      <c r="G3" s="0" t="n">
        <v>0</v>
      </c>
      <c r="J3" s="0" t="n">
        <v>1</v>
      </c>
      <c r="K3" s="35" t="n">
        <v>0</v>
      </c>
      <c r="L3" s="0" t="n">
        <f aca="false">L33</f>
        <v>0</v>
      </c>
      <c r="M3" s="0" t="n">
        <f aca="false">M33</f>
        <v>0</v>
      </c>
      <c r="N3" s="0" t="n">
        <f aca="false">N33</f>
        <v>0</v>
      </c>
      <c r="O3" s="35" t="n">
        <v>0</v>
      </c>
      <c r="P3" s="35" t="n">
        <v>0</v>
      </c>
    </row>
    <row r="4" customFormat="false" ht="13.8" hidden="false" customHeight="false" outlineLevel="0" collapsed="false">
      <c r="A4" s="0" t="n">
        <v>2</v>
      </c>
      <c r="B4" s="0" t="n">
        <v>0</v>
      </c>
      <c r="C4" s="21" t="n">
        <v>0</v>
      </c>
      <c r="D4" s="21" t="n">
        <v>0</v>
      </c>
      <c r="E4" s="21" t="n">
        <v>0</v>
      </c>
      <c r="F4" s="0" t="n">
        <v>0</v>
      </c>
      <c r="G4" s="0" t="n">
        <v>42504</v>
      </c>
      <c r="J4" s="0" t="n">
        <v>2</v>
      </c>
      <c r="K4" s="35" t="n">
        <v>0</v>
      </c>
      <c r="L4" s="0" t="n">
        <f aca="false">L34</f>
        <v>0</v>
      </c>
      <c r="M4" s="0" t="n">
        <f aca="false">M34</f>
        <v>0</v>
      </c>
      <c r="N4" s="0" t="n">
        <f aca="false">N34</f>
        <v>0</v>
      </c>
      <c r="O4" s="35" t="n">
        <v>0</v>
      </c>
      <c r="P4" s="35" t="n">
        <v>42504</v>
      </c>
    </row>
    <row r="5" customFormat="false" ht="13.8" hidden="false" customHeight="false" outlineLevel="0" collapsed="false">
      <c r="A5" s="0" t="n">
        <v>3</v>
      </c>
      <c r="B5" s="0" t="n">
        <v>0</v>
      </c>
      <c r="C5" s="21" t="n">
        <v>0</v>
      </c>
      <c r="D5" s="21" t="n">
        <v>0</v>
      </c>
      <c r="E5" s="21" t="n">
        <v>0</v>
      </c>
      <c r="F5" s="0" t="n">
        <v>17710</v>
      </c>
      <c r="G5" s="0" t="n">
        <v>76153</v>
      </c>
      <c r="J5" s="0" t="n">
        <v>3</v>
      </c>
      <c r="K5" s="35" t="n">
        <v>0</v>
      </c>
      <c r="L5" s="0" t="n">
        <f aca="false">L35</f>
        <v>0</v>
      </c>
      <c r="M5" s="0" t="n">
        <f aca="false">M35</f>
        <v>0</v>
      </c>
      <c r="N5" s="0" t="n">
        <f aca="false">N35</f>
        <v>0</v>
      </c>
      <c r="O5" s="35" t="n">
        <v>17710</v>
      </c>
      <c r="P5" s="35" t="n">
        <v>76153</v>
      </c>
    </row>
    <row r="6" customFormat="false" ht="13.8" hidden="false" customHeight="false" outlineLevel="0" collapsed="false">
      <c r="A6" s="0" t="n">
        <v>4</v>
      </c>
      <c r="B6" s="0" t="n">
        <v>0</v>
      </c>
      <c r="C6" s="21" t="n">
        <v>0</v>
      </c>
      <c r="D6" s="21" t="n">
        <v>0</v>
      </c>
      <c r="E6" s="21" t="n">
        <v>4620</v>
      </c>
      <c r="F6" s="0" t="n">
        <v>48510</v>
      </c>
      <c r="G6" s="0" t="n">
        <v>102487</v>
      </c>
      <c r="J6" s="0" t="n">
        <v>4</v>
      </c>
      <c r="K6" s="35" t="n">
        <v>0</v>
      </c>
      <c r="L6" s="0" t="n">
        <f aca="false">L36</f>
        <v>0</v>
      </c>
      <c r="M6" s="0" t="n">
        <f aca="false">M36</f>
        <v>0</v>
      </c>
      <c r="N6" s="0" t="n">
        <f aca="false">N36</f>
        <v>4620</v>
      </c>
      <c r="O6" s="35" t="n">
        <v>48510</v>
      </c>
      <c r="P6" s="35" t="n">
        <v>102487</v>
      </c>
    </row>
    <row r="7" customFormat="false" ht="13.8" hidden="false" customHeight="false" outlineLevel="0" collapsed="false">
      <c r="A7" s="0" t="n">
        <v>5</v>
      </c>
      <c r="B7" s="0" t="n">
        <v>0</v>
      </c>
      <c r="C7" s="21" t="n">
        <v>0</v>
      </c>
      <c r="D7" s="21" t="n">
        <v>840</v>
      </c>
      <c r="E7" s="21" t="n">
        <v>17220</v>
      </c>
      <c r="F7" s="0" t="n">
        <v>88620</v>
      </c>
      <c r="G7" s="0" t="n">
        <v>122836</v>
      </c>
      <c r="J7" s="0" t="n">
        <v>5</v>
      </c>
      <c r="K7" s="35" t="n">
        <v>0</v>
      </c>
      <c r="L7" s="0" t="n">
        <f aca="false">L37</f>
        <v>0</v>
      </c>
      <c r="M7" s="0" t="n">
        <f aca="false">M37</f>
        <v>0</v>
      </c>
      <c r="N7" s="0" t="n">
        <f aca="false">N37</f>
        <v>15960</v>
      </c>
      <c r="O7" s="35" t="n">
        <v>88620</v>
      </c>
      <c r="P7" s="35" t="n">
        <v>122836</v>
      </c>
    </row>
    <row r="8" customFormat="false" ht="13.8" hidden="false" customHeight="false" outlineLevel="0" collapsed="false">
      <c r="A8" s="0" t="n">
        <v>6</v>
      </c>
      <c r="B8" s="0" t="n">
        <v>0</v>
      </c>
      <c r="C8" s="21" t="n">
        <v>100</v>
      </c>
      <c r="D8" s="21" t="n">
        <v>4000</v>
      </c>
      <c r="E8" s="21" t="n">
        <v>40100</v>
      </c>
      <c r="F8" s="0" t="n">
        <v>135000</v>
      </c>
      <c r="G8" s="0" t="n">
        <v>138340</v>
      </c>
      <c r="J8" s="0" t="n">
        <v>6</v>
      </c>
      <c r="K8" s="35" t="n">
        <v>0</v>
      </c>
      <c r="L8" s="0" t="n">
        <f aca="false">L38</f>
        <v>0</v>
      </c>
      <c r="M8" s="0" t="n">
        <f aca="false">M38</f>
        <v>950</v>
      </c>
      <c r="N8" s="0" t="n">
        <f aca="false">N38</f>
        <v>34200</v>
      </c>
      <c r="O8" s="35" t="n">
        <v>135000</v>
      </c>
      <c r="P8" s="35" t="n">
        <v>138340</v>
      </c>
    </row>
    <row r="9" customFormat="false" ht="13.8" hidden="false" customHeight="false" outlineLevel="0" collapsed="false">
      <c r="A9" s="0" t="n">
        <v>7</v>
      </c>
      <c r="B9" s="0" t="n">
        <v>6</v>
      </c>
      <c r="C9" s="21" t="n">
        <v>585</v>
      </c>
      <c r="D9" s="21" t="n">
        <v>11420</v>
      </c>
      <c r="E9" s="21" t="n">
        <v>74685</v>
      </c>
      <c r="F9" s="0" t="n">
        <v>185256</v>
      </c>
      <c r="G9" s="0" t="n">
        <v>149968</v>
      </c>
      <c r="J9" s="0" t="n">
        <v>7</v>
      </c>
      <c r="K9" s="35" t="n">
        <v>6</v>
      </c>
      <c r="L9" s="0" t="n">
        <f aca="false">L39</f>
        <v>0</v>
      </c>
      <c r="M9" s="0" t="n">
        <f aca="false">M39</f>
        <v>4104</v>
      </c>
      <c r="N9" s="0" t="n">
        <f aca="false">N39</f>
        <v>58140</v>
      </c>
      <c r="O9" s="35" t="n">
        <v>185256</v>
      </c>
      <c r="P9" s="35" t="n">
        <v>149968</v>
      </c>
    </row>
    <row r="10" customFormat="false" ht="13.8" hidden="false" customHeight="false" outlineLevel="0" collapsed="false">
      <c r="A10" s="0" t="n">
        <v>8</v>
      </c>
      <c r="B10" s="0" t="n">
        <v>42</v>
      </c>
      <c r="C10" s="21" t="n">
        <v>1995</v>
      </c>
      <c r="D10" s="21" t="n">
        <v>25340</v>
      </c>
      <c r="E10" s="21" t="n">
        <v>121695</v>
      </c>
      <c r="F10" s="0" t="n">
        <v>237552</v>
      </c>
      <c r="G10" s="0" t="n">
        <v>158536</v>
      </c>
      <c r="J10" s="0" t="n">
        <v>8</v>
      </c>
      <c r="K10" s="35" t="n">
        <v>42</v>
      </c>
      <c r="L10" s="0" t="n">
        <f aca="false">L40</f>
        <v>126</v>
      </c>
      <c r="M10" s="0" t="n">
        <f aca="false">M40</f>
        <v>10710</v>
      </c>
      <c r="N10" s="0" t="n">
        <f aca="false">N40</f>
        <v>85680</v>
      </c>
      <c r="O10" s="35" t="n">
        <v>237552</v>
      </c>
      <c r="P10" s="35" t="n">
        <v>158536</v>
      </c>
    </row>
    <row r="11" customFormat="false" ht="13.8" hidden="false" customHeight="false" outlineLevel="0" collapsed="false">
      <c r="A11" s="0" t="n">
        <v>9</v>
      </c>
      <c r="B11" s="0" t="n">
        <v>168</v>
      </c>
      <c r="C11" s="21" t="n">
        <v>5180</v>
      </c>
      <c r="D11" s="21" t="n">
        <v>48160</v>
      </c>
      <c r="E11" s="21" t="n">
        <v>181300</v>
      </c>
      <c r="F11" s="0" t="n">
        <v>290528</v>
      </c>
      <c r="G11" s="0" t="n">
        <v>164724</v>
      </c>
      <c r="J11" s="0" t="n">
        <v>9</v>
      </c>
      <c r="K11" s="35" t="n">
        <v>168</v>
      </c>
      <c r="L11" s="0" t="n">
        <f aca="false">L41</f>
        <v>680</v>
      </c>
      <c r="M11" s="0" t="n">
        <f aca="false">M41</f>
        <v>21760</v>
      </c>
      <c r="N11" s="0" t="n">
        <f aca="false">N41</f>
        <v>114240</v>
      </c>
      <c r="O11" s="35" t="n">
        <v>290528</v>
      </c>
      <c r="P11" s="35" t="n">
        <v>164724</v>
      </c>
    </row>
    <row r="12" customFormat="false" ht="13.8" hidden="false" customHeight="false" outlineLevel="0" collapsed="false">
      <c r="A12" s="0" t="n">
        <v>10</v>
      </c>
      <c r="B12" s="0" t="n">
        <v>504</v>
      </c>
      <c r="C12" s="21" t="n">
        <v>11340</v>
      </c>
      <c r="D12" s="21" t="n">
        <v>82320</v>
      </c>
      <c r="E12" s="21" t="n">
        <v>253260</v>
      </c>
      <c r="F12" s="0" t="n">
        <v>343224</v>
      </c>
      <c r="G12" s="0" t="n">
        <v>169092</v>
      </c>
      <c r="J12" s="0" t="n">
        <v>10</v>
      </c>
      <c r="K12" s="35" t="n">
        <v>504</v>
      </c>
      <c r="L12" s="0" t="n">
        <f aca="false">L42</f>
        <v>2160</v>
      </c>
      <c r="M12" s="0" t="n">
        <f aca="false">M42</f>
        <v>37800</v>
      </c>
      <c r="N12" s="0" t="n">
        <f aca="false">N42</f>
        <v>141120</v>
      </c>
      <c r="O12" s="35" t="n">
        <v>343224</v>
      </c>
      <c r="P12" s="35" t="n">
        <v>169092</v>
      </c>
    </row>
    <row r="13" customFormat="false" ht="13.8" hidden="false" customHeight="false" outlineLevel="0" collapsed="false">
      <c r="A13" s="0" t="n">
        <v>11</v>
      </c>
      <c r="B13" s="0" t="n">
        <v>1260</v>
      </c>
      <c r="C13" s="21" t="n">
        <v>22050</v>
      </c>
      <c r="D13" s="21" t="n">
        <v>130200</v>
      </c>
      <c r="E13" s="21" t="n">
        <v>337050</v>
      </c>
      <c r="F13" s="0" t="n">
        <v>395010</v>
      </c>
      <c r="G13" s="0" t="n">
        <v>172095</v>
      </c>
      <c r="J13" s="0" t="n">
        <v>11</v>
      </c>
      <c r="K13" s="35" t="n">
        <v>1260</v>
      </c>
      <c r="L13" s="0" t="n">
        <f aca="false">L43</f>
        <v>5250</v>
      </c>
      <c r="M13" s="0" t="n">
        <f aca="false">M43</f>
        <v>58800</v>
      </c>
      <c r="N13" s="0" t="n">
        <f aca="false">N43</f>
        <v>163800</v>
      </c>
      <c r="O13" s="35" t="n">
        <v>395010</v>
      </c>
      <c r="P13" s="35" t="n">
        <v>172095</v>
      </c>
    </row>
    <row r="14" customFormat="false" ht="13.8" hidden="false" customHeight="false" outlineLevel="0" collapsed="false">
      <c r="A14" s="0" t="n">
        <v>12</v>
      </c>
      <c r="B14" s="0" t="n">
        <v>2772</v>
      </c>
      <c r="C14" s="21" t="n">
        <v>39270</v>
      </c>
      <c r="D14" s="21" t="n">
        <v>194040</v>
      </c>
      <c r="E14" s="21" t="n">
        <v>431970</v>
      </c>
      <c r="F14" s="0" t="n">
        <v>445522</v>
      </c>
      <c r="G14" s="0" t="n">
        <v>174097</v>
      </c>
      <c r="J14" s="0" t="n">
        <v>12</v>
      </c>
      <c r="K14" s="35" t="n">
        <v>2772</v>
      </c>
      <c r="L14" s="0" t="n">
        <f aca="false">L44</f>
        <v>10780</v>
      </c>
      <c r="M14" s="0" t="n">
        <f aca="false">M44</f>
        <v>84084</v>
      </c>
      <c r="N14" s="0" t="n">
        <f aca="false">N44</f>
        <v>180180</v>
      </c>
      <c r="O14" s="35" t="n">
        <v>445522</v>
      </c>
      <c r="P14" s="35" t="n">
        <v>174097</v>
      </c>
    </row>
    <row r="15" customFormat="false" ht="13.8" hidden="false" customHeight="false" outlineLevel="0" collapsed="false">
      <c r="A15" s="0" t="n">
        <v>13</v>
      </c>
      <c r="B15" s="0" t="n">
        <v>5544</v>
      </c>
      <c r="C15" s="21" t="n">
        <v>65340</v>
      </c>
      <c r="D15" s="21" t="n">
        <v>275880</v>
      </c>
      <c r="E15" s="21" t="n">
        <v>537240</v>
      </c>
      <c r="F15" s="0" t="n">
        <v>494604</v>
      </c>
      <c r="G15" s="0" t="n">
        <v>175384</v>
      </c>
      <c r="J15" s="0" t="n">
        <v>13</v>
      </c>
      <c r="K15" s="35" t="n">
        <v>5544</v>
      </c>
      <c r="L15" s="0" t="n">
        <f aca="false">L45</f>
        <v>19656</v>
      </c>
      <c r="M15" s="0" t="n">
        <f aca="false">M45</f>
        <v>112320</v>
      </c>
      <c r="N15" s="0" t="n">
        <f aca="false">N45</f>
        <v>188760</v>
      </c>
      <c r="O15" s="35" t="n">
        <v>494604</v>
      </c>
      <c r="P15" s="35" t="n">
        <v>175384</v>
      </c>
    </row>
    <row r="16" customFormat="false" ht="13.8" hidden="false" customHeight="false" outlineLevel="0" collapsed="false">
      <c r="A16" s="0" t="n">
        <v>14</v>
      </c>
      <c r="B16" s="0" t="n">
        <v>10296</v>
      </c>
      <c r="C16" s="21" t="n">
        <v>102960</v>
      </c>
      <c r="D16" s="21" t="n">
        <v>377520</v>
      </c>
      <c r="E16" s="21" t="n">
        <v>652080</v>
      </c>
      <c r="F16" s="0" t="n">
        <v>542256</v>
      </c>
      <c r="G16" s="0" t="n">
        <v>176176</v>
      </c>
      <c r="J16" s="0" t="n">
        <v>14</v>
      </c>
      <c r="K16" s="35" t="n">
        <v>10296</v>
      </c>
      <c r="L16" s="0" t="n">
        <f aca="false">L46</f>
        <v>32760</v>
      </c>
      <c r="M16" s="0" t="n">
        <f aca="false">M46</f>
        <v>141570</v>
      </c>
      <c r="N16" s="0" t="n">
        <f aca="false">N46</f>
        <v>188760</v>
      </c>
      <c r="O16" s="35" t="n">
        <v>542256</v>
      </c>
      <c r="P16" s="35" t="n">
        <v>176176</v>
      </c>
    </row>
    <row r="17" customFormat="false" ht="13.8" hidden="false" customHeight="false" outlineLevel="0" collapsed="false">
      <c r="A17" s="0" t="n">
        <v>15</v>
      </c>
      <c r="B17" s="0" t="n">
        <v>18018</v>
      </c>
      <c r="C17" s="21" t="n">
        <v>155155</v>
      </c>
      <c r="D17" s="21" t="n">
        <v>500500</v>
      </c>
      <c r="E17" s="21" t="n">
        <v>775775</v>
      </c>
      <c r="F17" s="0" t="n">
        <v>588588</v>
      </c>
      <c r="G17" s="0" t="n">
        <v>176638</v>
      </c>
      <c r="J17" s="0" t="n">
        <v>15</v>
      </c>
      <c r="K17" s="35" t="n">
        <v>18018</v>
      </c>
      <c r="L17" s="0" t="n">
        <f aca="false">L47</f>
        <v>50820</v>
      </c>
      <c r="M17" s="0" t="n">
        <f aca="false">M47</f>
        <v>169400</v>
      </c>
      <c r="N17" s="0" t="n">
        <f aca="false">N47</f>
        <v>180180</v>
      </c>
      <c r="O17" s="35" t="n">
        <v>588588</v>
      </c>
      <c r="P17" s="35" t="n">
        <v>176638</v>
      </c>
    </row>
    <row r="18" customFormat="false" ht="13.8" hidden="false" customHeight="false" outlineLevel="0" collapsed="false">
      <c r="A18" s="0" t="n">
        <v>16</v>
      </c>
      <c r="B18" s="0" t="n">
        <v>30030</v>
      </c>
      <c r="C18" s="21" t="n">
        <v>225225</v>
      </c>
      <c r="D18" s="21" t="n">
        <v>646100</v>
      </c>
      <c r="E18" s="21" t="n">
        <v>907725</v>
      </c>
      <c r="F18" s="0" t="n">
        <v>633780</v>
      </c>
      <c r="G18" s="0" t="n">
        <v>176890</v>
      </c>
      <c r="J18" s="0" t="n">
        <v>16</v>
      </c>
      <c r="K18" s="35" t="n">
        <v>30030</v>
      </c>
      <c r="L18" s="0" t="n">
        <f aca="false">L48</f>
        <v>74250</v>
      </c>
      <c r="M18" s="0" t="n">
        <f aca="false">M48</f>
        <v>193050</v>
      </c>
      <c r="N18" s="0" t="n">
        <f aca="false">N48</f>
        <v>163800</v>
      </c>
      <c r="O18" s="35" t="n">
        <v>633780</v>
      </c>
      <c r="P18" s="35" t="n">
        <v>176890</v>
      </c>
    </row>
    <row r="19" customFormat="false" ht="13.8" hidden="false" customHeight="false" outlineLevel="0" collapsed="false">
      <c r="A19" s="0" t="n">
        <v>17</v>
      </c>
      <c r="B19" s="0" t="n">
        <v>48048</v>
      </c>
      <c r="C19" s="21" t="n">
        <v>316680</v>
      </c>
      <c r="D19" s="21" t="n">
        <v>815360</v>
      </c>
      <c r="E19" s="21" t="n">
        <v>1047480</v>
      </c>
      <c r="F19" s="0" t="n">
        <v>678048</v>
      </c>
      <c r="G19" s="0" t="n">
        <v>177016</v>
      </c>
      <c r="J19" s="0" t="n">
        <v>17</v>
      </c>
      <c r="K19" s="35" t="n">
        <v>48048</v>
      </c>
      <c r="L19" s="0" t="n">
        <f aca="false">L49</f>
        <v>102960</v>
      </c>
      <c r="M19" s="0" t="n">
        <f aca="false">M49</f>
        <v>209664</v>
      </c>
      <c r="N19" s="0" t="n">
        <f aca="false">N49</f>
        <v>141120</v>
      </c>
      <c r="O19" s="35" t="n">
        <v>678048</v>
      </c>
      <c r="P19" s="35" t="n">
        <v>177016</v>
      </c>
    </row>
    <row r="20" customFormat="false" ht="13.8" hidden="false" customHeight="false" outlineLevel="0" collapsed="false">
      <c r="A20" s="0" t="n">
        <v>18</v>
      </c>
      <c r="B20" s="0" t="n">
        <v>74256</v>
      </c>
      <c r="C20" s="21" t="n">
        <v>433160</v>
      </c>
      <c r="D20" s="21" t="n">
        <v>1009120</v>
      </c>
      <c r="E20" s="21" t="n">
        <v>1194760</v>
      </c>
      <c r="F20" s="0" t="n">
        <v>721616</v>
      </c>
      <c r="G20" s="0" t="n">
        <v>177072</v>
      </c>
      <c r="J20" s="0" t="n">
        <v>18</v>
      </c>
      <c r="K20" s="35" t="n">
        <v>74256</v>
      </c>
      <c r="L20" s="0" t="n">
        <f aca="false">L50</f>
        <v>136136</v>
      </c>
      <c r="M20" s="0" t="n">
        <f aca="false">M50</f>
        <v>216580</v>
      </c>
      <c r="N20" s="0" t="n">
        <f aca="false">N50</f>
        <v>114240</v>
      </c>
      <c r="O20" s="35" t="n">
        <v>721616</v>
      </c>
      <c r="P20" s="35" t="n">
        <v>177072</v>
      </c>
    </row>
    <row r="21" customFormat="false" ht="13.8" hidden="false" customHeight="false" outlineLevel="0" collapsed="false">
      <c r="A21" s="0" t="n">
        <v>19</v>
      </c>
      <c r="B21" s="0" t="n">
        <v>111384</v>
      </c>
      <c r="C21" s="21" t="n">
        <v>578340</v>
      </c>
      <c r="D21" s="21" t="n">
        <v>1228080</v>
      </c>
      <c r="E21" s="21" t="n">
        <v>1349460</v>
      </c>
      <c r="F21" s="0" t="n">
        <v>764694</v>
      </c>
      <c r="G21" s="0" t="n">
        <v>177093</v>
      </c>
      <c r="J21" s="0" t="n">
        <v>19</v>
      </c>
      <c r="K21" s="35" t="n">
        <v>111384</v>
      </c>
      <c r="L21" s="0" t="n">
        <f aca="false">L51</f>
        <v>171990</v>
      </c>
      <c r="M21" s="0" t="n">
        <f aca="false">M51</f>
        <v>211680</v>
      </c>
      <c r="N21" s="0" t="n">
        <f aca="false">N51</f>
        <v>85680</v>
      </c>
      <c r="O21" s="35" t="n">
        <v>764694</v>
      </c>
      <c r="P21" s="35" t="n">
        <v>177093</v>
      </c>
    </row>
    <row r="22" customFormat="false" ht="13.8" hidden="false" customHeight="false" outlineLevel="0" collapsed="false">
      <c r="A22" s="0" t="n">
        <v>20</v>
      </c>
      <c r="B22" s="0" t="n">
        <v>162792</v>
      </c>
      <c r="C22" s="21" t="n">
        <v>755820</v>
      </c>
      <c r="D22" s="21" t="n">
        <v>1472880</v>
      </c>
      <c r="E22" s="21" t="n">
        <v>1511640</v>
      </c>
      <c r="F22" s="0" t="n">
        <v>807462</v>
      </c>
      <c r="G22" s="0" t="n">
        <v>177099</v>
      </c>
      <c r="J22" s="0" t="n">
        <v>20</v>
      </c>
      <c r="K22" s="35" t="n">
        <v>162792</v>
      </c>
      <c r="L22" s="0" t="n">
        <f aca="false">L52</f>
        <v>207480</v>
      </c>
      <c r="M22" s="0" t="n">
        <f aca="false">M52</f>
        <v>193800</v>
      </c>
      <c r="N22" s="0" t="n">
        <f aca="false">N52</f>
        <v>58140</v>
      </c>
      <c r="O22" s="35" t="n">
        <v>807462</v>
      </c>
      <c r="P22" s="35" t="n">
        <v>177099</v>
      </c>
    </row>
    <row r="23" customFormat="false" ht="13.8" hidden="false" customHeight="false" outlineLevel="0" collapsed="false">
      <c r="A23" s="0" t="n">
        <v>21</v>
      </c>
      <c r="B23" s="0" t="n">
        <v>232560</v>
      </c>
      <c r="C23" s="21" t="n">
        <v>969000</v>
      </c>
      <c r="D23" s="21" t="n">
        <v>1744200</v>
      </c>
      <c r="E23" s="21" t="n">
        <v>1681500</v>
      </c>
      <c r="F23" s="0" t="n">
        <v>850060</v>
      </c>
      <c r="G23" s="0" t="n">
        <v>177100</v>
      </c>
      <c r="J23" s="0" t="n">
        <v>21</v>
      </c>
      <c r="K23" s="35" t="n">
        <v>232560</v>
      </c>
      <c r="L23" s="0" t="n">
        <f aca="false">L53</f>
        <v>238000</v>
      </c>
      <c r="M23" s="0" t="n">
        <f aca="false">M53</f>
        <v>163200</v>
      </c>
      <c r="N23" s="0" t="n">
        <f aca="false">N53</f>
        <v>34200</v>
      </c>
      <c r="O23" s="35" t="n">
        <v>850060</v>
      </c>
      <c r="P23" s="35" t="n">
        <v>177100</v>
      </c>
    </row>
    <row r="24" customFormat="false" ht="13.8" hidden="false" customHeight="false" outlineLevel="0" collapsed="false">
      <c r="A24" s="0" t="n">
        <v>22</v>
      </c>
      <c r="B24" s="0" t="n">
        <v>325584</v>
      </c>
      <c r="C24" s="21" t="n">
        <v>1220940</v>
      </c>
      <c r="D24" s="21" t="n">
        <v>2042880</v>
      </c>
      <c r="E24" s="21" t="n">
        <v>1859340</v>
      </c>
      <c r="F24" s="0" t="n">
        <v>892584</v>
      </c>
      <c r="G24" s="0" t="n">
        <v>177100</v>
      </c>
      <c r="J24" s="0" t="n">
        <v>22</v>
      </c>
      <c r="K24" s="35" t="n">
        <v>325584</v>
      </c>
      <c r="L24" s="0" t="n">
        <f aca="false">L54</f>
        <v>257040</v>
      </c>
      <c r="M24" s="0" t="n">
        <f aca="false">M54</f>
        <v>122094</v>
      </c>
      <c r="N24" s="0" t="n">
        <f aca="false">N54</f>
        <v>15960</v>
      </c>
      <c r="O24" s="35" t="n">
        <v>892584</v>
      </c>
      <c r="P24" s="35" t="n">
        <v>177100</v>
      </c>
    </row>
    <row r="25" customFormat="false" ht="13.8" hidden="false" customHeight="false" outlineLevel="0" collapsed="false">
      <c r="A25" s="0" t="n">
        <v>23</v>
      </c>
      <c r="B25" s="0" t="n">
        <v>447678</v>
      </c>
      <c r="C25" s="21" t="n">
        <v>1514205</v>
      </c>
      <c r="D25" s="21" t="n">
        <v>2370060</v>
      </c>
      <c r="E25" s="21" t="n">
        <v>2045505</v>
      </c>
      <c r="F25" s="0" t="n">
        <v>935088</v>
      </c>
      <c r="G25" s="0" t="n">
        <v>177100</v>
      </c>
      <c r="J25" s="0" t="n">
        <v>23</v>
      </c>
      <c r="K25" s="35" t="n">
        <v>447678</v>
      </c>
      <c r="L25" s="0" t="n">
        <f aca="false">L55</f>
        <v>255816</v>
      </c>
      <c r="M25" s="0" t="n">
        <f aca="false">M55</f>
        <v>75240</v>
      </c>
      <c r="N25" s="0" t="n">
        <f aca="false">N55</f>
        <v>4620</v>
      </c>
      <c r="O25" s="35" t="n">
        <v>935088</v>
      </c>
      <c r="P25" s="35" t="n">
        <v>177100</v>
      </c>
    </row>
    <row r="26" customFormat="false" ht="13.8" hidden="false" customHeight="false" outlineLevel="0" collapsed="false">
      <c r="A26" s="0" t="n">
        <v>24</v>
      </c>
      <c r="B26" s="0" t="n">
        <v>605682</v>
      </c>
      <c r="C26" s="21" t="n">
        <v>1850695</v>
      </c>
      <c r="D26" s="21" t="n">
        <v>2727340</v>
      </c>
      <c r="E26" s="21" t="n">
        <v>2240315</v>
      </c>
      <c r="F26" s="0" t="n">
        <v>977592</v>
      </c>
      <c r="G26" s="0" t="n">
        <v>177100</v>
      </c>
      <c r="J26" s="0" t="n">
        <v>24</v>
      </c>
      <c r="K26" s="35" t="n">
        <v>605682</v>
      </c>
      <c r="L26" s="0" t="n">
        <f aca="false">L56</f>
        <v>222870</v>
      </c>
      <c r="M26" s="0" t="n">
        <f aca="false">M56</f>
        <v>30590</v>
      </c>
      <c r="N26" s="0" t="n">
        <f aca="false">N56</f>
        <v>0</v>
      </c>
      <c r="O26" s="35" t="n">
        <v>977592</v>
      </c>
      <c r="P26" s="35" t="n">
        <v>177100</v>
      </c>
    </row>
    <row r="27" customFormat="false" ht="13.8" hidden="false" customHeight="false" outlineLevel="0" collapsed="false">
      <c r="A27" s="0" t="n">
        <v>25</v>
      </c>
      <c r="B27" s="0" t="n">
        <v>807576</v>
      </c>
      <c r="C27" s="21" t="n">
        <v>2231460</v>
      </c>
      <c r="D27" s="21" t="n">
        <v>3116960</v>
      </c>
      <c r="E27" s="21" t="n">
        <v>2443980</v>
      </c>
      <c r="F27" s="0" t="n">
        <v>1020096</v>
      </c>
      <c r="G27" s="0" t="n">
        <v>177100</v>
      </c>
      <c r="J27" s="0" t="n">
        <v>25</v>
      </c>
      <c r="K27" s="35" t="n">
        <v>807576</v>
      </c>
      <c r="L27" s="0" t="n">
        <f aca="false">L57</f>
        <v>143640</v>
      </c>
      <c r="M27" s="0" t="n">
        <f aca="false">M57</f>
        <v>0</v>
      </c>
      <c r="N27" s="0" t="n">
        <f aca="false">N57</f>
        <v>0</v>
      </c>
      <c r="O27" s="35" t="n">
        <v>1020096</v>
      </c>
      <c r="P27" s="35" t="n">
        <v>177100</v>
      </c>
    </row>
    <row r="28" customFormat="false" ht="13.8" hidden="false" customHeight="false" outlineLevel="0" collapsed="false">
      <c r="A28" s="0" t="n">
        <v>26</v>
      </c>
      <c r="B28" s="0" t="n">
        <v>1062600</v>
      </c>
      <c r="C28" s="21" t="n">
        <v>2656500</v>
      </c>
      <c r="D28" s="21" t="n">
        <v>3542000</v>
      </c>
      <c r="E28" s="21" t="n">
        <v>2656500</v>
      </c>
      <c r="F28" s="0" t="n">
        <v>1062600</v>
      </c>
      <c r="G28" s="0" t="n">
        <v>177100</v>
      </c>
      <c r="J28" s="0" t="n">
        <v>26</v>
      </c>
      <c r="K28" s="35" t="n">
        <v>1062600</v>
      </c>
      <c r="L28" s="0" t="n">
        <f aca="false">L58</f>
        <v>0</v>
      </c>
      <c r="M28" s="0" t="n">
        <f aca="false">M58</f>
        <v>0</v>
      </c>
      <c r="N28" s="0" t="n">
        <f aca="false">N58</f>
        <v>0</v>
      </c>
      <c r="O28" s="35" t="n">
        <v>1062600</v>
      </c>
      <c r="P28" s="35" t="n">
        <v>177100</v>
      </c>
    </row>
    <row r="29" customFormat="false" ht="13.8" hidden="false" customHeight="false" outlineLevel="0" collapsed="false">
      <c r="B29" s="36" t="n">
        <f aca="false">SUM(B3:B28)</f>
        <v>3946800</v>
      </c>
      <c r="C29" s="37" t="n">
        <f aca="false">SUM(C3:C28)</f>
        <v>13156000</v>
      </c>
      <c r="D29" s="37" t="n">
        <f aca="false">SUM(D3:D28)</f>
        <v>22365200</v>
      </c>
      <c r="E29" s="37" t="n">
        <f aca="false">SUM(E3:E28)</f>
        <v>22365200</v>
      </c>
      <c r="F29" s="36" t="n">
        <f aca="false">SUM(F3:F28)</f>
        <v>13156000</v>
      </c>
      <c r="G29" s="36" t="n">
        <f aca="false">SUM(G3:G28)</f>
        <v>3946800</v>
      </c>
      <c r="H29" s="36" t="n">
        <f aca="false">SUM(B29:G29)</f>
        <v>78936000</v>
      </c>
      <c r="K29" s="35" t="n">
        <f aca="false">SUM(K3:K28)</f>
        <v>3946800</v>
      </c>
      <c r="L29" s="0" t="n">
        <f aca="false">SUM(L3:L28)</f>
        <v>1932414</v>
      </c>
      <c r="M29" s="0" t="n">
        <f aca="false">SUM(M3:M28)</f>
        <v>2057396</v>
      </c>
      <c r="N29" s="0" t="n">
        <f aca="false">SUM(N3:N28)</f>
        <v>1973400</v>
      </c>
      <c r="O29" s="35" t="n">
        <f aca="false">SUM(O3:O28)</f>
        <v>13156000</v>
      </c>
      <c r="P29" s="35" t="n">
        <f aca="false">SUM(P3:P28)</f>
        <v>3946800</v>
      </c>
      <c r="Q29" s="0" t="n">
        <f aca="false">SUM(K29:P29)</f>
        <v>27012810</v>
      </c>
    </row>
    <row r="30" customFormat="false" ht="13.8" hidden="false" customHeight="false" outlineLevel="0" collapsed="false">
      <c r="K30" s="0" t="n">
        <f aca="false">COMBIN(26,G2)*COMBIN(G2-1,K2-1)</f>
        <v>3946800</v>
      </c>
      <c r="L30" s="0" t="n">
        <f aca="false">COMBIN(26,$G$2)*COMBIN($G$2-1,L2-1)</f>
        <v>9867000</v>
      </c>
      <c r="M30" s="0" t="n">
        <f aca="false">COMBIN(26,$G$2)*COMBIN($G$2-1,M2-1)</f>
        <v>13156000</v>
      </c>
      <c r="N30" s="0" t="n">
        <f aca="false">COMBIN(26,$G$2)*COMBIN($G$2-1,N2-1)</f>
        <v>9867000</v>
      </c>
      <c r="O30" s="0" t="n">
        <f aca="false">COMBIN(26,$G$2)*COMBIN($G$2-1,O2-1)</f>
        <v>3946800</v>
      </c>
      <c r="P30" s="0" t="n">
        <f aca="false">COMBIN(26,$G$2)*COMBIN($G$2-1,P2-1)</f>
        <v>657800</v>
      </c>
      <c r="Q30" s="0" t="n">
        <f aca="false">SUM(K30:P30)</f>
        <v>41441400</v>
      </c>
    </row>
    <row r="31" customFormat="false" ht="13.8" hidden="false" customHeight="false" outlineLevel="0" collapsed="false">
      <c r="B31" s="0" t="s">
        <v>29</v>
      </c>
    </row>
    <row r="33" customFormat="false" ht="12.8" hidden="false" customHeight="false" outlineLevel="0" collapsed="false">
      <c r="B33" s="0" t="n">
        <v>6</v>
      </c>
      <c r="C33" s="0" t="n">
        <v>1330</v>
      </c>
      <c r="D33" s="0" t="n">
        <v>6</v>
      </c>
      <c r="E33" s="0" t="n">
        <v>1540</v>
      </c>
      <c r="F33" s="0" t="n">
        <f aca="false">B33*C33+D33*E33</f>
        <v>17220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</row>
    <row r="34" customFormat="false" ht="12.8" hidden="false" customHeight="false" outlineLevel="0" collapsed="false">
      <c r="J34" s="0" t="n">
        <v>2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42504</v>
      </c>
    </row>
    <row r="35" customFormat="false" ht="12.8" hidden="false" customHeight="false" outlineLevel="0" collapsed="false">
      <c r="J35" s="0" t="n">
        <v>3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17710</v>
      </c>
      <c r="P35" s="0" t="n">
        <v>76153</v>
      </c>
    </row>
    <row r="36" customFormat="false" ht="12.8" hidden="false" customHeight="false" outlineLevel="0" collapsed="false">
      <c r="J36" s="0" t="n">
        <v>4</v>
      </c>
      <c r="K36" s="0" t="n">
        <v>0</v>
      </c>
      <c r="L36" s="0" t="n">
        <v>0</v>
      </c>
      <c r="M36" s="0" t="n">
        <v>0</v>
      </c>
      <c r="N36" s="0" t="n">
        <v>4620</v>
      </c>
      <c r="O36" s="0" t="n">
        <v>48510</v>
      </c>
      <c r="P36" s="0" t="n">
        <v>102487</v>
      </c>
    </row>
    <row r="37" customFormat="false" ht="12.8" hidden="false" customHeight="false" outlineLevel="0" collapsed="false">
      <c r="J37" s="0" t="n">
        <v>5</v>
      </c>
      <c r="K37" s="0" t="n">
        <v>0</v>
      </c>
      <c r="L37" s="0" t="n">
        <v>0</v>
      </c>
      <c r="M37" s="0" t="n">
        <v>0</v>
      </c>
      <c r="N37" s="0" t="n">
        <v>15960</v>
      </c>
      <c r="O37" s="0" t="n">
        <v>88620</v>
      </c>
      <c r="P37" s="0" t="n">
        <v>122836</v>
      </c>
    </row>
    <row r="38" customFormat="false" ht="12.8" hidden="false" customHeight="false" outlineLevel="0" collapsed="false">
      <c r="J38" s="0" t="n">
        <v>6</v>
      </c>
      <c r="K38" s="0" t="n">
        <v>0</v>
      </c>
      <c r="L38" s="0" t="n">
        <v>0</v>
      </c>
      <c r="M38" s="0" t="n">
        <v>950</v>
      </c>
      <c r="N38" s="0" t="n">
        <v>34200</v>
      </c>
      <c r="O38" s="0" t="n">
        <v>135000</v>
      </c>
      <c r="P38" s="0" t="n">
        <v>138340</v>
      </c>
    </row>
    <row r="39" customFormat="false" ht="12.8" hidden="false" customHeight="false" outlineLevel="0" collapsed="false">
      <c r="J39" s="0" t="n">
        <v>7</v>
      </c>
      <c r="K39" s="0" t="n">
        <v>6</v>
      </c>
      <c r="L39" s="0" t="n">
        <v>0</v>
      </c>
      <c r="M39" s="0" t="n">
        <v>4104</v>
      </c>
      <c r="N39" s="0" t="n">
        <v>58140</v>
      </c>
      <c r="O39" s="0" t="n">
        <v>185256</v>
      </c>
      <c r="P39" s="0" t="n">
        <v>149968</v>
      </c>
    </row>
    <row r="40" customFormat="false" ht="12.8" hidden="false" customHeight="false" outlineLevel="0" collapsed="false">
      <c r="J40" s="0" t="n">
        <v>8</v>
      </c>
      <c r="K40" s="0" t="n">
        <v>42</v>
      </c>
      <c r="L40" s="0" t="n">
        <v>126</v>
      </c>
      <c r="M40" s="0" t="n">
        <v>10710</v>
      </c>
      <c r="N40" s="0" t="n">
        <v>85680</v>
      </c>
      <c r="O40" s="0" t="n">
        <v>237552</v>
      </c>
      <c r="P40" s="0" t="n">
        <v>158536</v>
      </c>
    </row>
    <row r="41" customFormat="false" ht="12.8" hidden="false" customHeight="false" outlineLevel="0" collapsed="false">
      <c r="J41" s="0" t="n">
        <v>9</v>
      </c>
      <c r="K41" s="0" t="n">
        <v>168</v>
      </c>
      <c r="L41" s="0" t="n">
        <v>680</v>
      </c>
      <c r="M41" s="0" t="n">
        <v>21760</v>
      </c>
      <c r="N41" s="0" t="n">
        <v>114240</v>
      </c>
      <c r="O41" s="0" t="n">
        <v>290528</v>
      </c>
      <c r="P41" s="0" t="n">
        <v>164724</v>
      </c>
    </row>
    <row r="42" customFormat="false" ht="12.8" hidden="false" customHeight="false" outlineLevel="0" collapsed="false">
      <c r="J42" s="0" t="n">
        <v>10</v>
      </c>
      <c r="K42" s="0" t="n">
        <v>504</v>
      </c>
      <c r="L42" s="0" t="n">
        <v>2160</v>
      </c>
      <c r="M42" s="0" t="n">
        <v>37800</v>
      </c>
      <c r="N42" s="0" t="n">
        <v>141120</v>
      </c>
      <c r="O42" s="0" t="n">
        <v>343224</v>
      </c>
      <c r="P42" s="0" t="n">
        <v>169092</v>
      </c>
    </row>
    <row r="43" customFormat="false" ht="12.8" hidden="false" customHeight="false" outlineLevel="0" collapsed="false">
      <c r="J43" s="0" t="n">
        <v>11</v>
      </c>
      <c r="K43" s="0" t="n">
        <v>1260</v>
      </c>
      <c r="L43" s="0" t="n">
        <v>5250</v>
      </c>
      <c r="M43" s="0" t="n">
        <v>58800</v>
      </c>
      <c r="N43" s="0" t="n">
        <v>163800</v>
      </c>
      <c r="O43" s="0" t="n">
        <v>395010</v>
      </c>
      <c r="P43" s="0" t="n">
        <v>172095</v>
      </c>
    </row>
    <row r="44" customFormat="false" ht="12.8" hidden="false" customHeight="false" outlineLevel="0" collapsed="false">
      <c r="J44" s="0" t="n">
        <v>12</v>
      </c>
      <c r="K44" s="0" t="n">
        <v>2772</v>
      </c>
      <c r="L44" s="0" t="n">
        <v>10780</v>
      </c>
      <c r="M44" s="0" t="n">
        <v>84084</v>
      </c>
      <c r="N44" s="0" t="n">
        <v>180180</v>
      </c>
      <c r="O44" s="0" t="n">
        <v>445522</v>
      </c>
      <c r="P44" s="0" t="n">
        <v>174097</v>
      </c>
    </row>
    <row r="45" customFormat="false" ht="12.8" hidden="false" customHeight="false" outlineLevel="0" collapsed="false">
      <c r="J45" s="0" t="n">
        <v>13</v>
      </c>
      <c r="K45" s="0" t="n">
        <v>5544</v>
      </c>
      <c r="L45" s="0" t="n">
        <v>19656</v>
      </c>
      <c r="M45" s="0" t="n">
        <v>112320</v>
      </c>
      <c r="N45" s="0" t="n">
        <v>188760</v>
      </c>
      <c r="O45" s="0" t="n">
        <v>494604</v>
      </c>
      <c r="P45" s="0" t="n">
        <v>175384</v>
      </c>
    </row>
    <row r="46" customFormat="false" ht="12.8" hidden="false" customHeight="false" outlineLevel="0" collapsed="false">
      <c r="J46" s="0" t="n">
        <v>14</v>
      </c>
      <c r="K46" s="0" t="n">
        <v>10296</v>
      </c>
      <c r="L46" s="0" t="n">
        <v>32760</v>
      </c>
      <c r="M46" s="0" t="n">
        <v>141570</v>
      </c>
      <c r="N46" s="0" t="n">
        <v>188760</v>
      </c>
      <c r="O46" s="0" t="n">
        <v>542256</v>
      </c>
      <c r="P46" s="0" t="n">
        <v>176176</v>
      </c>
    </row>
    <row r="47" customFormat="false" ht="12.8" hidden="false" customHeight="false" outlineLevel="0" collapsed="false">
      <c r="J47" s="0" t="n">
        <v>15</v>
      </c>
      <c r="K47" s="0" t="n">
        <v>18018</v>
      </c>
      <c r="L47" s="0" t="n">
        <v>50820</v>
      </c>
      <c r="M47" s="0" t="n">
        <v>169400</v>
      </c>
      <c r="N47" s="0" t="n">
        <v>180180</v>
      </c>
      <c r="O47" s="0" t="n">
        <v>588588</v>
      </c>
      <c r="P47" s="0" t="n">
        <v>176638</v>
      </c>
    </row>
    <row r="48" customFormat="false" ht="12.8" hidden="false" customHeight="false" outlineLevel="0" collapsed="false">
      <c r="J48" s="0" t="n">
        <v>16</v>
      </c>
      <c r="K48" s="0" t="n">
        <v>30030</v>
      </c>
      <c r="L48" s="0" t="n">
        <v>74250</v>
      </c>
      <c r="M48" s="0" t="n">
        <v>193050</v>
      </c>
      <c r="N48" s="0" t="n">
        <v>163800</v>
      </c>
      <c r="O48" s="0" t="n">
        <v>633780</v>
      </c>
      <c r="P48" s="0" t="n">
        <v>176890</v>
      </c>
    </row>
    <row r="49" customFormat="false" ht="12.8" hidden="false" customHeight="false" outlineLevel="0" collapsed="false">
      <c r="J49" s="0" t="n">
        <v>17</v>
      </c>
      <c r="K49" s="0" t="n">
        <v>48048</v>
      </c>
      <c r="L49" s="0" t="n">
        <v>102960</v>
      </c>
      <c r="M49" s="0" t="n">
        <v>209664</v>
      </c>
      <c r="N49" s="0" t="n">
        <v>141120</v>
      </c>
      <c r="O49" s="0" t="n">
        <v>678048</v>
      </c>
      <c r="P49" s="0" t="n">
        <v>177016</v>
      </c>
    </row>
    <row r="50" customFormat="false" ht="12.8" hidden="false" customHeight="false" outlineLevel="0" collapsed="false">
      <c r="J50" s="0" t="n">
        <v>18</v>
      </c>
      <c r="K50" s="0" t="n">
        <v>74256</v>
      </c>
      <c r="L50" s="0" t="n">
        <v>136136</v>
      </c>
      <c r="M50" s="0" t="n">
        <v>216580</v>
      </c>
      <c r="N50" s="0" t="n">
        <v>114240</v>
      </c>
      <c r="O50" s="0" t="n">
        <v>721616</v>
      </c>
      <c r="P50" s="0" t="n">
        <v>177072</v>
      </c>
    </row>
    <row r="51" customFormat="false" ht="12.8" hidden="false" customHeight="false" outlineLevel="0" collapsed="false">
      <c r="J51" s="0" t="n">
        <v>19</v>
      </c>
      <c r="K51" s="0" t="n">
        <v>111384</v>
      </c>
      <c r="L51" s="0" t="n">
        <v>171990</v>
      </c>
      <c r="M51" s="0" t="n">
        <v>211680</v>
      </c>
      <c r="N51" s="0" t="n">
        <v>85680</v>
      </c>
      <c r="O51" s="0" t="n">
        <v>764694</v>
      </c>
      <c r="P51" s="0" t="n">
        <v>177093</v>
      </c>
    </row>
    <row r="52" customFormat="false" ht="12.8" hidden="false" customHeight="false" outlineLevel="0" collapsed="false">
      <c r="J52" s="0" t="n">
        <v>20</v>
      </c>
      <c r="K52" s="0" t="n">
        <v>162792</v>
      </c>
      <c r="L52" s="0" t="n">
        <v>207480</v>
      </c>
      <c r="M52" s="0" t="n">
        <v>193800</v>
      </c>
      <c r="N52" s="0" t="n">
        <v>58140</v>
      </c>
      <c r="O52" s="0" t="n">
        <v>807462</v>
      </c>
      <c r="P52" s="0" t="n">
        <v>177099</v>
      </c>
    </row>
    <row r="53" customFormat="false" ht="12.8" hidden="false" customHeight="false" outlineLevel="0" collapsed="false">
      <c r="J53" s="0" t="n">
        <v>21</v>
      </c>
      <c r="K53" s="0" t="n">
        <v>232560</v>
      </c>
      <c r="L53" s="0" t="n">
        <v>238000</v>
      </c>
      <c r="M53" s="0" t="n">
        <v>163200</v>
      </c>
      <c r="N53" s="0" t="n">
        <v>34200</v>
      </c>
      <c r="O53" s="0" t="n">
        <v>850060</v>
      </c>
      <c r="P53" s="0" t="n">
        <v>177100</v>
      </c>
    </row>
    <row r="54" customFormat="false" ht="12.8" hidden="false" customHeight="false" outlineLevel="0" collapsed="false">
      <c r="J54" s="0" t="n">
        <v>22</v>
      </c>
      <c r="K54" s="0" t="n">
        <v>325584</v>
      </c>
      <c r="L54" s="0" t="n">
        <v>257040</v>
      </c>
      <c r="M54" s="0" t="n">
        <v>122094</v>
      </c>
      <c r="N54" s="0" t="n">
        <v>15960</v>
      </c>
      <c r="O54" s="0" t="n">
        <v>892584</v>
      </c>
      <c r="P54" s="0" t="n">
        <v>177100</v>
      </c>
    </row>
    <row r="55" customFormat="false" ht="12.8" hidden="false" customHeight="false" outlineLevel="0" collapsed="false">
      <c r="J55" s="0" t="n">
        <v>23</v>
      </c>
      <c r="K55" s="0" t="n">
        <v>447678</v>
      </c>
      <c r="L55" s="0" t="n">
        <v>255816</v>
      </c>
      <c r="M55" s="0" t="n">
        <v>75240</v>
      </c>
      <c r="N55" s="0" t="n">
        <v>4620</v>
      </c>
      <c r="O55" s="0" t="n">
        <v>935088</v>
      </c>
      <c r="P55" s="0" t="n">
        <v>177100</v>
      </c>
    </row>
    <row r="56" customFormat="false" ht="12.8" hidden="false" customHeight="false" outlineLevel="0" collapsed="false">
      <c r="J56" s="0" t="n">
        <v>24</v>
      </c>
      <c r="K56" s="0" t="n">
        <v>605682</v>
      </c>
      <c r="L56" s="0" t="n">
        <v>222870</v>
      </c>
      <c r="M56" s="0" t="n">
        <v>30590</v>
      </c>
      <c r="N56" s="0" t="n">
        <v>0</v>
      </c>
      <c r="O56" s="0" t="n">
        <v>977592</v>
      </c>
      <c r="P56" s="0" t="n">
        <v>177100</v>
      </c>
    </row>
    <row r="57" customFormat="false" ht="12.8" hidden="false" customHeight="false" outlineLevel="0" collapsed="false">
      <c r="J57" s="0" t="n">
        <v>25</v>
      </c>
      <c r="K57" s="0" t="n">
        <v>807576</v>
      </c>
      <c r="L57" s="0" t="n">
        <v>143640</v>
      </c>
      <c r="M57" s="0" t="n">
        <v>0</v>
      </c>
      <c r="N57" s="0" t="n">
        <v>0</v>
      </c>
      <c r="O57" s="0" t="n">
        <v>1020096</v>
      </c>
      <c r="P57" s="0" t="n">
        <v>177100</v>
      </c>
    </row>
    <row r="58" customFormat="false" ht="12.8" hidden="false" customHeight="false" outlineLevel="0" collapsed="false">
      <c r="J58" s="0" t="n">
        <v>26</v>
      </c>
      <c r="K58" s="0" t="n">
        <v>1062600</v>
      </c>
      <c r="L58" s="0" t="n">
        <v>0</v>
      </c>
      <c r="M58" s="0" t="n">
        <v>0</v>
      </c>
      <c r="N58" s="0" t="n">
        <v>0</v>
      </c>
      <c r="O58" s="0" t="n">
        <v>1062600</v>
      </c>
      <c r="P58" s="0" t="n">
        <v>177100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54"/>
  <sheetViews>
    <sheetView showFormulas="false" showGridLines="true" showRowColHeaders="true" showZeros="true" rightToLeft="false" tabSelected="false" showOutlineSymbols="true" defaultGridColor="true" view="normal" topLeftCell="Z1" colorId="64" zoomScale="100" zoomScaleNormal="100" zoomScalePageLayoutView="100" workbookViewId="0">
      <selection pane="topLeft" activeCell="AG30" activeCellId="0" sqref="AG30"/>
    </sheetView>
  </sheetViews>
  <sheetFormatPr defaultColWidth="9.16015625" defaultRowHeight="13.8" zeroHeight="false" outlineLevelRow="0" outlineLevelCol="0"/>
  <cols>
    <col collapsed="false" customWidth="true" hidden="false" outlineLevel="0" max="12" min="4" style="0" width="4.19"/>
    <col collapsed="false" customWidth="true" hidden="false" outlineLevel="0" max="13" min="13" style="0" width="5.07"/>
    <col collapsed="false" customWidth="true" hidden="false" outlineLevel="0" max="14" min="14" style="0" width="5.4"/>
    <col collapsed="false" customWidth="true" hidden="false" outlineLevel="0" max="17" min="17" style="0" width="1.21"/>
    <col collapsed="false" customWidth="true" hidden="false" outlineLevel="0" max="24" min="18" style="0" width="5.29"/>
  </cols>
  <sheetData>
    <row r="1" customFormat="false" ht="13.8" hidden="false" customHeight="false" outlineLevel="0" collapsed="false">
      <c r="A1" s="23"/>
      <c r="B1" s="1"/>
      <c r="C1" s="23"/>
      <c r="D1" s="38"/>
      <c r="E1" s="39"/>
      <c r="F1" s="38"/>
      <c r="G1" s="39"/>
      <c r="H1" s="38"/>
      <c r="I1" s="39"/>
      <c r="J1" s="38"/>
      <c r="K1" s="39"/>
      <c r="L1" s="38"/>
      <c r="M1" s="39"/>
      <c r="N1" s="23"/>
      <c r="O1" s="23"/>
      <c r="P1" s="23"/>
      <c r="Q1" s="23"/>
      <c r="Z1" s="0" t="n">
        <f aca="false">COMBIN(AA1,AB1)</f>
        <v>190</v>
      </c>
      <c r="AA1" s="40" t="n">
        <v>20</v>
      </c>
      <c r="AB1" s="40" t="n">
        <v>2</v>
      </c>
      <c r="AC1" s="0" t="n">
        <v>1</v>
      </c>
      <c r="AD1" s="0" t="n">
        <v>7</v>
      </c>
      <c r="AE1" s="0" t="n">
        <v>3</v>
      </c>
      <c r="AF1" s="40"/>
      <c r="AG1" s="40"/>
      <c r="AH1" s="0" t="n">
        <v>0</v>
      </c>
      <c r="AJ1" s="0" t="n">
        <f aca="false">Z1*AH1</f>
        <v>0</v>
      </c>
    </row>
    <row r="2" customFormat="false" ht="13.8" hidden="false" customHeight="false" outlineLevel="0" collapsed="false">
      <c r="A2" s="23" t="n">
        <v>19</v>
      </c>
      <c r="B2" s="1" t="s">
        <v>30</v>
      </c>
      <c r="C2" s="23"/>
      <c r="D2" s="38"/>
      <c r="E2" s="39"/>
      <c r="F2" s="38"/>
      <c r="G2" s="39"/>
      <c r="H2" s="38"/>
      <c r="I2" s="39"/>
      <c r="J2" s="38" t="n">
        <v>7</v>
      </c>
      <c r="K2" s="39" t="n">
        <v>1</v>
      </c>
      <c r="L2" s="38"/>
      <c r="M2" s="39"/>
      <c r="N2" s="23"/>
      <c r="O2" s="23"/>
      <c r="P2" s="23"/>
      <c r="Q2" s="23"/>
      <c r="V2" s="0" t="s">
        <v>31</v>
      </c>
      <c r="W2" s="0" t="n">
        <v>3</v>
      </c>
      <c r="Z2" s="0" t="n">
        <f aca="false">COMBIN(AA2,AB2)</f>
        <v>190</v>
      </c>
      <c r="AA2" s="40" t="n">
        <v>20</v>
      </c>
      <c r="AB2" s="40" t="n">
        <v>2</v>
      </c>
      <c r="AC2" s="0" t="n">
        <v>1</v>
      </c>
      <c r="AD2" s="0" t="n">
        <v>7</v>
      </c>
      <c r="AE2" s="0" t="n">
        <v>4</v>
      </c>
      <c r="AF2" s="40" t="n">
        <v>3</v>
      </c>
      <c r="AG2" s="40" t="n">
        <v>2</v>
      </c>
      <c r="AH2" s="0" t="n">
        <f aca="false">COMBIN(AF2,AG2)</f>
        <v>3</v>
      </c>
      <c r="AJ2" s="0" t="n">
        <f aca="false">Z2*AH2</f>
        <v>570</v>
      </c>
    </row>
    <row r="3" customFormat="false" ht="13.8" hidden="false" customHeight="false" outlineLevel="0" collapsed="false">
      <c r="A3" s="23"/>
      <c r="B3" s="23"/>
      <c r="C3" s="23"/>
      <c r="D3" s="39"/>
      <c r="E3" s="39"/>
      <c r="F3" s="39"/>
      <c r="G3" s="39"/>
      <c r="H3" s="39" t="n">
        <v>6</v>
      </c>
      <c r="I3" s="39"/>
      <c r="J3" s="39" t="n">
        <v>0</v>
      </c>
      <c r="K3" s="39"/>
      <c r="L3" s="39" t="n">
        <v>6</v>
      </c>
      <c r="M3" s="39"/>
      <c r="N3" s="23"/>
      <c r="O3" s="23"/>
      <c r="P3" s="23"/>
      <c r="Q3" s="23"/>
      <c r="V3" s="0" t="s">
        <v>32</v>
      </c>
      <c r="W3" s="0" t="n">
        <v>3</v>
      </c>
      <c r="Z3" s="0" t="n">
        <f aca="false">COMBIN(AA3,AB3)</f>
        <v>190</v>
      </c>
      <c r="AA3" s="40" t="n">
        <v>20</v>
      </c>
      <c r="AB3" s="40" t="n">
        <v>2</v>
      </c>
      <c r="AC3" s="0" t="n">
        <v>1</v>
      </c>
      <c r="AD3" s="0" t="n">
        <v>7</v>
      </c>
      <c r="AE3" s="0" t="n">
        <v>5</v>
      </c>
      <c r="AF3" s="40" t="n">
        <v>3</v>
      </c>
      <c r="AG3" s="40" t="n">
        <v>2</v>
      </c>
      <c r="AH3" s="0" t="n">
        <f aca="false">COMBIN(AF3,AG3)</f>
        <v>3</v>
      </c>
      <c r="AJ3" s="0" t="n">
        <f aca="false">Z3*AH3</f>
        <v>570</v>
      </c>
    </row>
    <row r="4" customFormat="false" ht="13.8" hidden="false" customHeight="false" outlineLevel="0" collapsed="false">
      <c r="A4" s="23" t="n">
        <v>0</v>
      </c>
      <c r="B4" s="23" t="n">
        <v>19</v>
      </c>
      <c r="C4" s="23" t="n">
        <v>171</v>
      </c>
      <c r="D4" s="39"/>
      <c r="E4" s="39"/>
      <c r="F4" s="39"/>
      <c r="G4" s="39"/>
      <c r="H4" s="39" t="n">
        <v>5</v>
      </c>
      <c r="I4" s="39"/>
      <c r="J4" s="39"/>
      <c r="K4" s="39"/>
      <c r="L4" s="39" t="n">
        <v>6</v>
      </c>
      <c r="M4" s="39"/>
      <c r="N4" s="23" t="n">
        <v>6</v>
      </c>
      <c r="O4" s="23"/>
      <c r="P4" s="23" t="n">
        <v>1026</v>
      </c>
      <c r="Q4" s="23"/>
      <c r="Z4" s="0" t="n">
        <f aca="false">COMBIN(AA4,AB4)</f>
        <v>190</v>
      </c>
      <c r="AA4" s="40" t="n">
        <v>20</v>
      </c>
      <c r="AB4" s="40" t="n">
        <v>2</v>
      </c>
      <c r="AC4" s="0" t="n">
        <v>1</v>
      </c>
      <c r="AD4" s="0" t="n">
        <v>7</v>
      </c>
      <c r="AE4" s="0" t="n">
        <v>6</v>
      </c>
      <c r="AF4" s="40" t="n">
        <v>4</v>
      </c>
      <c r="AG4" s="40" t="n">
        <v>2</v>
      </c>
      <c r="AH4" s="0" t="n">
        <f aca="false">COMBIN(AF4,AG4)</f>
        <v>6</v>
      </c>
      <c r="AJ4" s="0" t="n">
        <f aca="false">Z4*AH4</f>
        <v>1140</v>
      </c>
    </row>
    <row r="5" customFormat="false" ht="13.8" hidden="false" customHeight="false" outlineLevel="0" collapsed="false">
      <c r="A5" s="23" t="n">
        <v>1</v>
      </c>
      <c r="B5" s="23" t="n">
        <v>20</v>
      </c>
      <c r="C5" s="23" t="n">
        <v>190</v>
      </c>
      <c r="D5" s="39"/>
      <c r="E5" s="39"/>
      <c r="F5" s="39"/>
      <c r="G5" s="39"/>
      <c r="H5" s="39" t="n">
        <v>4</v>
      </c>
      <c r="I5" s="39"/>
      <c r="J5" s="39"/>
      <c r="K5" s="39"/>
      <c r="L5" s="39" t="n">
        <v>6</v>
      </c>
      <c r="M5" s="39"/>
      <c r="N5" s="23" t="n">
        <v>6</v>
      </c>
      <c r="O5" s="23"/>
      <c r="P5" s="23" t="n">
        <v>1140</v>
      </c>
      <c r="Q5" s="23"/>
      <c r="Z5" s="0" t="n">
        <f aca="false">COMBIN(AA5,AB5)</f>
        <v>190</v>
      </c>
      <c r="AA5" s="40" t="n">
        <v>20</v>
      </c>
      <c r="AB5" s="40" t="n">
        <v>2</v>
      </c>
      <c r="AC5" s="0" t="n">
        <v>2</v>
      </c>
      <c r="AD5" s="0" t="n">
        <v>7</v>
      </c>
      <c r="AE5" s="0" t="n">
        <v>3</v>
      </c>
      <c r="AF5" s="40"/>
      <c r="AG5" s="40"/>
      <c r="AH5" s="0" t="n">
        <v>0</v>
      </c>
      <c r="AJ5" s="0" t="n">
        <f aca="false">Z5*AH5</f>
        <v>0</v>
      </c>
    </row>
    <row r="6" customFormat="false" ht="13.8" hidden="false" customHeight="false" outlineLevel="0" collapsed="false">
      <c r="A6" s="23" t="n">
        <v>2</v>
      </c>
      <c r="B6" s="23" t="n">
        <v>21</v>
      </c>
      <c r="C6" s="23" t="n">
        <v>210</v>
      </c>
      <c r="D6" s="39"/>
      <c r="E6" s="39"/>
      <c r="F6" s="39"/>
      <c r="G6" s="39"/>
      <c r="H6" s="39" t="n">
        <v>3</v>
      </c>
      <c r="I6" s="39"/>
      <c r="J6" s="39"/>
      <c r="K6" s="39"/>
      <c r="L6" s="39" t="n">
        <v>6</v>
      </c>
      <c r="M6" s="39"/>
      <c r="N6" s="23" t="n">
        <v>6</v>
      </c>
      <c r="O6" s="23"/>
      <c r="P6" s="23" t="n">
        <v>1260</v>
      </c>
      <c r="Q6" s="23"/>
      <c r="Z6" s="0" t="n">
        <f aca="false">COMBIN(AA6,AB6)</f>
        <v>190</v>
      </c>
      <c r="AA6" s="40" t="n">
        <v>20</v>
      </c>
      <c r="AB6" s="40" t="n">
        <v>2</v>
      </c>
      <c r="AC6" s="0" t="n">
        <v>2</v>
      </c>
      <c r="AD6" s="0" t="n">
        <v>7</v>
      </c>
      <c r="AE6" s="0" t="n">
        <v>4</v>
      </c>
      <c r="AF6" s="40" t="n">
        <v>2</v>
      </c>
      <c r="AG6" s="40" t="n">
        <v>2</v>
      </c>
      <c r="AH6" s="0" t="n">
        <f aca="false">COMBIN(AF6,AG6)</f>
        <v>1</v>
      </c>
      <c r="AJ6" s="0" t="n">
        <f aca="false">Z6*AH6</f>
        <v>190</v>
      </c>
    </row>
    <row r="7" customFormat="false" ht="13.8" hidden="false" customHeight="false" outlineLevel="0" collapsed="false">
      <c r="A7" s="23" t="n">
        <v>3</v>
      </c>
      <c r="B7" s="23" t="n">
        <v>22</v>
      </c>
      <c r="C7" s="23" t="s">
        <v>33</v>
      </c>
      <c r="D7" s="39"/>
      <c r="E7" s="39"/>
      <c r="F7" s="39"/>
      <c r="G7" s="39"/>
      <c r="H7" s="39" t="n">
        <v>2</v>
      </c>
      <c r="I7" s="39"/>
      <c r="J7" s="39"/>
      <c r="K7" s="39"/>
      <c r="L7" s="39" t="n">
        <v>6</v>
      </c>
      <c r="M7" s="39"/>
      <c r="N7" s="23" t="n">
        <v>6</v>
      </c>
      <c r="O7" s="23"/>
      <c r="P7" s="23" t="n">
        <v>1386</v>
      </c>
      <c r="Q7" s="23"/>
      <c r="Z7" s="0" t="n">
        <f aca="false">COMBIN(AA7,AB7)</f>
        <v>190</v>
      </c>
      <c r="AA7" s="40" t="n">
        <v>20</v>
      </c>
      <c r="AB7" s="40" t="n">
        <v>2</v>
      </c>
      <c r="AC7" s="0" t="n">
        <v>2</v>
      </c>
      <c r="AD7" s="0" t="n">
        <v>7</v>
      </c>
      <c r="AE7" s="0" t="n">
        <v>5</v>
      </c>
      <c r="AF7" s="40" t="n">
        <v>3</v>
      </c>
      <c r="AG7" s="40" t="n">
        <v>2</v>
      </c>
      <c r="AH7" s="0" t="n">
        <f aca="false">COMBIN(AF7,AG7)</f>
        <v>3</v>
      </c>
      <c r="AJ7" s="0" t="n">
        <f aca="false">Z7*AH7</f>
        <v>570</v>
      </c>
    </row>
    <row r="8" customFormat="false" ht="13.8" hidden="false" customHeight="false" outlineLevel="0" collapsed="false">
      <c r="A8" s="23" t="n">
        <v>3</v>
      </c>
      <c r="B8" s="23" t="n">
        <v>22</v>
      </c>
      <c r="C8" s="23" t="n">
        <v>231</v>
      </c>
      <c r="D8" s="39"/>
      <c r="E8" s="39"/>
      <c r="F8" s="39"/>
      <c r="G8" s="39"/>
      <c r="H8" s="39" t="n">
        <v>1</v>
      </c>
      <c r="I8" s="39"/>
      <c r="J8" s="39"/>
      <c r="K8" s="39"/>
      <c r="L8" s="39" t="n">
        <v>6</v>
      </c>
      <c r="M8" s="39"/>
      <c r="N8" s="23" t="n">
        <v>6</v>
      </c>
      <c r="O8" s="23"/>
      <c r="P8" s="23" t="n">
        <v>1386</v>
      </c>
      <c r="Q8" s="23"/>
      <c r="Z8" s="0" t="n">
        <f aca="false">COMBIN(AA8,AB8)</f>
        <v>171</v>
      </c>
      <c r="AA8" s="40" t="n">
        <v>19</v>
      </c>
      <c r="AB8" s="40" t="n">
        <v>2</v>
      </c>
      <c r="AC8" s="0" t="n">
        <v>2</v>
      </c>
      <c r="AD8" s="0" t="n">
        <v>7</v>
      </c>
      <c r="AE8" s="0" t="n">
        <v>6</v>
      </c>
      <c r="AF8" s="40" t="n">
        <v>4</v>
      </c>
      <c r="AG8" s="40" t="n">
        <v>2</v>
      </c>
      <c r="AH8" s="0" t="n">
        <f aca="false">COMBIN(AF8,AG8)</f>
        <v>6</v>
      </c>
      <c r="AJ8" s="0" t="n">
        <f aca="false">Z8*AH8</f>
        <v>1026</v>
      </c>
    </row>
    <row r="9" customFormat="false" ht="13.8" hidden="false" customHeight="false" outlineLevel="0" collapsed="false">
      <c r="A9" s="23" t="n">
        <v>0</v>
      </c>
      <c r="B9" s="23" t="n">
        <v>19</v>
      </c>
      <c r="C9" s="23" t="n">
        <v>171</v>
      </c>
      <c r="D9" s="39"/>
      <c r="E9" s="39"/>
      <c r="F9" s="39"/>
      <c r="G9" s="39"/>
      <c r="H9" s="39" t="n">
        <v>6</v>
      </c>
      <c r="I9" s="39"/>
      <c r="J9" s="39"/>
      <c r="K9" s="39"/>
      <c r="L9" s="39" t="n">
        <v>5</v>
      </c>
      <c r="M9" s="39"/>
      <c r="N9" s="23" t="n">
        <v>6</v>
      </c>
      <c r="O9" s="23"/>
      <c r="P9" s="23" t="n">
        <v>1026</v>
      </c>
      <c r="Q9" s="23"/>
      <c r="Z9" s="0" t="n">
        <f aca="false">COMBIN(AA9,AB9)</f>
        <v>190</v>
      </c>
      <c r="AA9" s="40" t="n">
        <v>20</v>
      </c>
      <c r="AB9" s="40" t="n">
        <v>2</v>
      </c>
      <c r="AC9" s="0" t="n">
        <v>3</v>
      </c>
      <c r="AD9" s="0" t="n">
        <v>7</v>
      </c>
      <c r="AE9" s="0" t="n">
        <v>4</v>
      </c>
      <c r="AF9" s="40" t="n">
        <v>2</v>
      </c>
      <c r="AG9" s="40" t="n">
        <v>2</v>
      </c>
      <c r="AH9" s="0" t="n">
        <f aca="false">COMBIN(AF9,AG9)</f>
        <v>1</v>
      </c>
      <c r="AJ9" s="0" t="n">
        <f aca="false">Z9*AH9</f>
        <v>190</v>
      </c>
    </row>
    <row r="10" customFormat="false" ht="13.8" hidden="false" customHeight="false" outlineLevel="0" collapsed="false">
      <c r="A10" s="23"/>
      <c r="B10" s="23" t="n">
        <v>19</v>
      </c>
      <c r="C10" s="23" t="n">
        <v>171</v>
      </c>
      <c r="D10" s="39"/>
      <c r="E10" s="39"/>
      <c r="F10" s="39"/>
      <c r="G10" s="39"/>
      <c r="H10" s="39" t="n">
        <v>5</v>
      </c>
      <c r="I10" s="39"/>
      <c r="J10" s="39" t="n">
        <v>0</v>
      </c>
      <c r="K10" s="39"/>
      <c r="L10" s="39" t="n">
        <v>5</v>
      </c>
      <c r="M10" s="39"/>
      <c r="N10" s="23" t="n">
        <v>0</v>
      </c>
      <c r="O10" s="23"/>
      <c r="P10" s="23" t="n">
        <v>0</v>
      </c>
      <c r="Q10" s="23"/>
      <c r="Z10" s="0" t="n">
        <f aca="false">COMBIN(AA10,AB10)</f>
        <v>190</v>
      </c>
      <c r="AA10" s="40" t="n">
        <v>20</v>
      </c>
      <c r="AB10" s="40" t="n">
        <v>2</v>
      </c>
      <c r="AC10" s="0" t="n">
        <v>3</v>
      </c>
      <c r="AD10" s="0" t="n">
        <v>7</v>
      </c>
      <c r="AE10" s="0" t="n">
        <v>5</v>
      </c>
      <c r="AF10" s="40" t="n">
        <v>3</v>
      </c>
      <c r="AG10" s="40" t="n">
        <v>2</v>
      </c>
      <c r="AH10" s="0" t="n">
        <f aca="false">COMBIN(AF10,AG10)</f>
        <v>3</v>
      </c>
      <c r="AJ10" s="0" t="n">
        <f aca="false">Z10*AH10</f>
        <v>570</v>
      </c>
    </row>
    <row r="11" customFormat="false" ht="13.8" hidden="false" customHeight="false" outlineLevel="0" collapsed="false">
      <c r="A11" s="23" t="n">
        <v>1</v>
      </c>
      <c r="B11" s="23" t="n">
        <v>20</v>
      </c>
      <c r="C11" s="23" t="n">
        <v>190</v>
      </c>
      <c r="D11" s="39"/>
      <c r="E11" s="39"/>
      <c r="F11" s="39"/>
      <c r="G11" s="39"/>
      <c r="H11" s="39" t="n">
        <v>4</v>
      </c>
      <c r="I11" s="39"/>
      <c r="J11" s="39"/>
      <c r="K11" s="39"/>
      <c r="L11" s="39" t="n">
        <v>5</v>
      </c>
      <c r="M11" s="39"/>
      <c r="N11" s="23" t="n">
        <v>3</v>
      </c>
      <c r="O11" s="23"/>
      <c r="P11" s="23" t="n">
        <v>570</v>
      </c>
      <c r="Q11" s="23"/>
      <c r="Z11" s="0" t="n">
        <f aca="false">COMBIN(AA11,AB11)</f>
        <v>153</v>
      </c>
      <c r="AA11" s="40" t="n">
        <v>18</v>
      </c>
      <c r="AB11" s="40" t="n">
        <v>2</v>
      </c>
      <c r="AC11" s="0" t="n">
        <v>3</v>
      </c>
      <c r="AD11" s="0" t="n">
        <v>7</v>
      </c>
      <c r="AE11" s="0" t="n">
        <v>6</v>
      </c>
      <c r="AF11" s="40" t="n">
        <v>4</v>
      </c>
      <c r="AG11" s="40" t="n">
        <v>2</v>
      </c>
      <c r="AH11" s="0" t="n">
        <f aca="false">COMBIN(AF11,AG11)</f>
        <v>6</v>
      </c>
      <c r="AJ11" s="0" t="n">
        <f aca="false">Z11*AH11</f>
        <v>918</v>
      </c>
    </row>
    <row r="12" customFormat="false" ht="13.8" hidden="false" customHeight="false" outlineLevel="0" collapsed="false">
      <c r="A12" s="23" t="n">
        <v>2</v>
      </c>
      <c r="B12" s="23" t="n">
        <v>21</v>
      </c>
      <c r="C12" s="23" t="n">
        <v>210</v>
      </c>
      <c r="D12" s="39"/>
      <c r="E12" s="39"/>
      <c r="F12" s="39"/>
      <c r="G12" s="39"/>
      <c r="H12" s="39" t="n">
        <v>3</v>
      </c>
      <c r="I12" s="39"/>
      <c r="J12" s="39"/>
      <c r="K12" s="39"/>
      <c r="L12" s="39" t="n">
        <v>5</v>
      </c>
      <c r="M12" s="39"/>
      <c r="N12" s="23" t="n">
        <v>3</v>
      </c>
      <c r="O12" s="23"/>
      <c r="P12" s="23" t="n">
        <v>630</v>
      </c>
      <c r="Q12" s="23"/>
      <c r="Z12" s="0" t="n">
        <f aca="false">COMBIN(AA12,AB12)</f>
        <v>190</v>
      </c>
      <c r="AA12" s="40" t="n">
        <v>20</v>
      </c>
      <c r="AB12" s="40" t="n">
        <v>2</v>
      </c>
      <c r="AC12" s="0" t="n">
        <v>4</v>
      </c>
      <c r="AD12" s="0" t="n">
        <v>7</v>
      </c>
      <c r="AE12" s="0" t="n">
        <v>3</v>
      </c>
      <c r="AF12" s="40"/>
      <c r="AG12" s="40"/>
      <c r="AH12" s="0" t="n">
        <f aca="false">COMBIN(AF12,AG12)</f>
        <v>1</v>
      </c>
      <c r="AJ12" s="0" t="n">
        <f aca="false">Z12*AH12</f>
        <v>190</v>
      </c>
    </row>
    <row r="13" customFormat="false" ht="13.8" hidden="false" customHeight="false" outlineLevel="0" collapsed="false">
      <c r="A13" s="23" t="n">
        <v>3</v>
      </c>
      <c r="B13" s="23" t="n">
        <v>22</v>
      </c>
      <c r="C13" s="23" t="n">
        <v>231</v>
      </c>
      <c r="D13" s="39"/>
      <c r="E13" s="39"/>
      <c r="F13" s="39"/>
      <c r="G13" s="39"/>
      <c r="H13" s="39" t="n">
        <v>2</v>
      </c>
      <c r="I13" s="39"/>
      <c r="J13" s="39"/>
      <c r="K13" s="39"/>
      <c r="L13" s="39" t="n">
        <v>5</v>
      </c>
      <c r="M13" s="39"/>
      <c r="N13" s="23" t="n">
        <v>3</v>
      </c>
      <c r="O13" s="23"/>
      <c r="P13" s="23" t="n">
        <v>693</v>
      </c>
      <c r="Q13" s="23"/>
      <c r="Z13" s="0" t="n">
        <f aca="false">COMBIN(AA13,AB13)</f>
        <v>190</v>
      </c>
      <c r="AA13" s="40" t="n">
        <v>20</v>
      </c>
      <c r="AB13" s="40" t="n">
        <v>2</v>
      </c>
      <c r="AC13" s="0" t="n">
        <v>4</v>
      </c>
      <c r="AD13" s="0" t="n">
        <v>7</v>
      </c>
      <c r="AE13" s="0" t="n">
        <v>5</v>
      </c>
      <c r="AF13" s="40" t="n">
        <v>3</v>
      </c>
      <c r="AG13" s="40" t="n">
        <v>2</v>
      </c>
      <c r="AH13" s="0" t="n">
        <f aca="false">COMBIN(AF13,AG13)</f>
        <v>3</v>
      </c>
      <c r="AJ13" s="0" t="n">
        <f aca="false">Z13*AH13</f>
        <v>570</v>
      </c>
    </row>
    <row r="14" customFormat="false" ht="13.8" hidden="false" customHeight="false" outlineLevel="0" collapsed="false">
      <c r="A14" s="23" t="n">
        <v>3</v>
      </c>
      <c r="B14" s="23" t="n">
        <v>22</v>
      </c>
      <c r="C14" s="23" t="n">
        <v>231</v>
      </c>
      <c r="D14" s="39"/>
      <c r="E14" s="39"/>
      <c r="F14" s="39"/>
      <c r="G14" s="39"/>
      <c r="H14" s="39" t="n">
        <v>1</v>
      </c>
      <c r="I14" s="39"/>
      <c r="J14" s="39"/>
      <c r="K14" s="39"/>
      <c r="L14" s="39" t="n">
        <v>5</v>
      </c>
      <c r="M14" s="39"/>
      <c r="N14" s="23" t="n">
        <v>3</v>
      </c>
      <c r="O14" s="23"/>
      <c r="P14" s="23" t="n">
        <v>693</v>
      </c>
      <c r="Q14" s="23"/>
      <c r="Z14" s="0" t="n">
        <f aca="false">COMBIN(AA14,AB14)</f>
        <v>153</v>
      </c>
      <c r="AA14" s="40" t="n">
        <v>18</v>
      </c>
      <c r="AB14" s="40" t="n">
        <v>2</v>
      </c>
      <c r="AC14" s="0" t="n">
        <v>4</v>
      </c>
      <c r="AD14" s="0" t="n">
        <v>7</v>
      </c>
      <c r="AE14" s="0" t="n">
        <v>6</v>
      </c>
      <c r="AF14" s="40" t="n">
        <v>4</v>
      </c>
      <c r="AG14" s="40" t="n">
        <v>2</v>
      </c>
      <c r="AH14" s="0" t="n">
        <f aca="false">COMBIN(AF14,AG14)</f>
        <v>6</v>
      </c>
      <c r="AJ14" s="0" t="n">
        <f aca="false">Z14*AH14</f>
        <v>918</v>
      </c>
    </row>
    <row r="15" customFormat="false" ht="13.8" hidden="false" customHeight="false" outlineLevel="0" collapsed="false">
      <c r="A15" s="23" t="n">
        <v>3</v>
      </c>
      <c r="B15" s="23" t="n">
        <v>22</v>
      </c>
      <c r="C15" s="23" t="n">
        <v>231</v>
      </c>
      <c r="D15" s="39"/>
      <c r="E15" s="39"/>
      <c r="F15" s="39"/>
      <c r="G15" s="39"/>
      <c r="H15" s="39" t="n">
        <v>6</v>
      </c>
      <c r="I15" s="39"/>
      <c r="J15" s="39"/>
      <c r="K15" s="39"/>
      <c r="L15" s="39" t="n">
        <v>4</v>
      </c>
      <c r="M15" s="39"/>
      <c r="N15" s="23" t="n">
        <v>3</v>
      </c>
      <c r="O15" s="23"/>
      <c r="P15" s="23" t="n">
        <v>693</v>
      </c>
      <c r="Q15" s="23"/>
      <c r="Z15" s="0" t="n">
        <f aca="false">COMBIN(AA15,AB15)</f>
        <v>190</v>
      </c>
      <c r="AA15" s="40" t="n">
        <v>20</v>
      </c>
      <c r="AB15" s="40" t="n">
        <v>2</v>
      </c>
      <c r="AC15" s="0" t="n">
        <v>5</v>
      </c>
      <c r="AD15" s="0" t="n">
        <v>7</v>
      </c>
      <c r="AE15" s="0" t="n">
        <v>3</v>
      </c>
      <c r="AF15" s="40"/>
      <c r="AG15" s="40"/>
      <c r="AH15" s="0" t="n">
        <f aca="false">COMBIN(AF15,AG15)</f>
        <v>1</v>
      </c>
      <c r="AJ15" s="0" t="n">
        <f aca="false">Z15*AH15</f>
        <v>190</v>
      </c>
    </row>
    <row r="16" customFormat="false" ht="13.8" hidden="false" customHeight="false" outlineLevel="0" collapsed="false">
      <c r="A16" s="23" t="n">
        <v>0</v>
      </c>
      <c r="B16" s="23" t="n">
        <v>19</v>
      </c>
      <c r="C16" s="23" t="n">
        <v>171</v>
      </c>
      <c r="D16" s="39"/>
      <c r="E16" s="39"/>
      <c r="F16" s="39"/>
      <c r="G16" s="39"/>
      <c r="H16" s="39" t="n">
        <v>5</v>
      </c>
      <c r="I16" s="39"/>
      <c r="J16" s="39"/>
      <c r="K16" s="39"/>
      <c r="L16" s="39" t="n">
        <v>4</v>
      </c>
      <c r="M16" s="39"/>
      <c r="N16" s="23" t="n">
        <v>3</v>
      </c>
      <c r="O16" s="23"/>
      <c r="P16" s="23" t="n">
        <v>513</v>
      </c>
      <c r="Q16" s="23"/>
      <c r="Z16" s="0" t="n">
        <f aca="false">COMBIN(AA16,AB16)</f>
        <v>171</v>
      </c>
      <c r="AA16" s="40" t="n">
        <v>19</v>
      </c>
      <c r="AB16" s="40" t="n">
        <v>2</v>
      </c>
      <c r="AC16" s="0" t="n">
        <v>5</v>
      </c>
      <c r="AD16" s="0" t="n">
        <v>7</v>
      </c>
      <c r="AE16" s="0" t="n">
        <v>4</v>
      </c>
      <c r="AF16" s="40" t="n">
        <v>3</v>
      </c>
      <c r="AG16" s="40" t="n">
        <v>2</v>
      </c>
      <c r="AH16" s="0" t="n">
        <f aca="false">COMBIN(AF16,AG16)</f>
        <v>3</v>
      </c>
      <c r="AJ16" s="0" t="n">
        <f aca="false">Z16*AH16</f>
        <v>513</v>
      </c>
    </row>
    <row r="17" customFormat="false" ht="13.8" hidden="false" customHeight="false" outlineLevel="0" collapsed="false">
      <c r="A17" s="23"/>
      <c r="B17" s="23" t="n">
        <v>19</v>
      </c>
      <c r="C17" s="23" t="n">
        <v>171</v>
      </c>
      <c r="D17" s="39"/>
      <c r="E17" s="39"/>
      <c r="F17" s="39"/>
      <c r="G17" s="39"/>
      <c r="H17" s="39" t="n">
        <v>4</v>
      </c>
      <c r="I17" s="39"/>
      <c r="J17" s="39" t="n">
        <v>0</v>
      </c>
      <c r="K17" s="39"/>
      <c r="L17" s="39" t="n">
        <v>4</v>
      </c>
      <c r="M17" s="39"/>
      <c r="N17" s="23" t="n">
        <v>0</v>
      </c>
      <c r="O17" s="23"/>
      <c r="P17" s="23" t="n">
        <v>0</v>
      </c>
      <c r="Q17" s="23"/>
      <c r="Z17" s="0" t="n">
        <f aca="false">COMBIN(AA17,AB17)</f>
        <v>153</v>
      </c>
      <c r="AA17" s="40" t="n">
        <v>18</v>
      </c>
      <c r="AB17" s="40" t="n">
        <v>2</v>
      </c>
      <c r="AC17" s="0" t="n">
        <v>5</v>
      </c>
      <c r="AD17" s="0" t="n">
        <v>7</v>
      </c>
      <c r="AE17" s="0" t="n">
        <v>6</v>
      </c>
      <c r="AF17" s="40" t="n">
        <v>4</v>
      </c>
      <c r="AG17" s="40" t="n">
        <v>2</v>
      </c>
      <c r="AH17" s="0" t="n">
        <f aca="false">COMBIN(AF17,AG17)</f>
        <v>6</v>
      </c>
      <c r="AJ17" s="0" t="n">
        <f aca="false">Z17*AH17</f>
        <v>918</v>
      </c>
    </row>
    <row r="18" customFormat="false" ht="13.8" hidden="false" customHeight="false" outlineLevel="0" collapsed="false">
      <c r="A18" s="23" t="n">
        <v>1</v>
      </c>
      <c r="B18" s="23" t="n">
        <v>20</v>
      </c>
      <c r="C18" s="23" t="n">
        <v>190</v>
      </c>
      <c r="D18" s="39"/>
      <c r="E18" s="39"/>
      <c r="F18" s="39"/>
      <c r="G18" s="39"/>
      <c r="H18" s="39" t="n">
        <v>3</v>
      </c>
      <c r="I18" s="39"/>
      <c r="J18" s="39"/>
      <c r="K18" s="39"/>
      <c r="L18" s="39" t="n">
        <v>4</v>
      </c>
      <c r="M18" s="39"/>
      <c r="N18" s="23" t="n">
        <v>1</v>
      </c>
      <c r="O18" s="23"/>
      <c r="P18" s="23" t="n">
        <v>190</v>
      </c>
      <c r="Q18" s="23"/>
      <c r="Z18" s="0" t="n">
        <f aca="false">COMBIN(AA18,AB18)</f>
        <v>153</v>
      </c>
      <c r="AA18" s="40" t="n">
        <v>18</v>
      </c>
      <c r="AB18" s="40" t="n">
        <v>2</v>
      </c>
      <c r="AC18" s="0" t="n">
        <v>6</v>
      </c>
      <c r="AD18" s="0" t="n">
        <v>7</v>
      </c>
      <c r="AE18" s="0" t="n">
        <v>3</v>
      </c>
      <c r="AF18" s="40"/>
      <c r="AG18" s="40"/>
      <c r="AH18" s="0" t="n">
        <f aca="false">COMBIN(AF18,AG18)</f>
        <v>1</v>
      </c>
      <c r="AJ18" s="0" t="n">
        <f aca="false">Z18*AH18</f>
        <v>153</v>
      </c>
    </row>
    <row r="19" customFormat="false" ht="13.8" hidden="false" customHeight="false" outlineLevel="0" collapsed="false">
      <c r="A19" s="23" t="n">
        <v>2</v>
      </c>
      <c r="B19" s="23" t="n">
        <v>21</v>
      </c>
      <c r="C19" s="23" t="n">
        <v>210</v>
      </c>
      <c r="D19" s="39"/>
      <c r="E19" s="39"/>
      <c r="F19" s="39"/>
      <c r="G19" s="39"/>
      <c r="H19" s="39" t="n">
        <v>2</v>
      </c>
      <c r="I19" s="39"/>
      <c r="J19" s="39"/>
      <c r="K19" s="39"/>
      <c r="L19" s="39" t="n">
        <v>4</v>
      </c>
      <c r="M19" s="39"/>
      <c r="N19" s="23" t="n">
        <v>1</v>
      </c>
      <c r="O19" s="23"/>
      <c r="P19" s="23" t="n">
        <v>210</v>
      </c>
      <c r="Q19" s="23"/>
      <c r="Z19" s="0" t="n">
        <f aca="false">COMBIN(AA19,AB19)</f>
        <v>153</v>
      </c>
      <c r="AA19" s="40" t="n">
        <v>18</v>
      </c>
      <c r="AB19" s="40" t="n">
        <v>2</v>
      </c>
      <c r="AC19" s="0" t="n">
        <v>6</v>
      </c>
      <c r="AD19" s="0" t="n">
        <v>7</v>
      </c>
      <c r="AE19" s="0" t="n">
        <v>4</v>
      </c>
      <c r="AF19" s="40" t="n">
        <v>3</v>
      </c>
      <c r="AG19" s="40" t="n">
        <v>2</v>
      </c>
      <c r="AH19" s="0" t="n">
        <f aca="false">COMBIN(AF19,AG19)</f>
        <v>3</v>
      </c>
      <c r="AJ19" s="0" t="n">
        <f aca="false">Z19*AH19</f>
        <v>459</v>
      </c>
    </row>
    <row r="20" customFormat="false" ht="13.8" hidden="false" customHeight="false" outlineLevel="0" collapsed="false">
      <c r="A20" s="23" t="n">
        <v>3</v>
      </c>
      <c r="B20" s="23" t="n">
        <v>22</v>
      </c>
      <c r="C20" s="23" t="n">
        <v>231</v>
      </c>
      <c r="D20" s="39"/>
      <c r="E20" s="39"/>
      <c r="F20" s="39"/>
      <c r="G20" s="39"/>
      <c r="H20" s="39" t="n">
        <v>1</v>
      </c>
      <c r="I20" s="39"/>
      <c r="J20" s="39"/>
      <c r="K20" s="39"/>
      <c r="L20" s="39" t="n">
        <v>4</v>
      </c>
      <c r="M20" s="39"/>
      <c r="N20" s="23" t="n">
        <v>1</v>
      </c>
      <c r="O20" s="23"/>
      <c r="P20" s="23" t="n">
        <v>231</v>
      </c>
      <c r="Q20" s="23"/>
      <c r="Z20" s="0" t="n">
        <f aca="false">COMBIN(AA20,AB20)</f>
        <v>153</v>
      </c>
      <c r="AA20" s="40" t="n">
        <v>18</v>
      </c>
      <c r="AB20" s="40" t="n">
        <v>2</v>
      </c>
      <c r="AC20" s="0" t="n">
        <v>6</v>
      </c>
      <c r="AD20" s="0" t="n">
        <v>7</v>
      </c>
      <c r="AE20" s="0" t="n">
        <v>5</v>
      </c>
      <c r="AF20" s="40" t="n">
        <v>4</v>
      </c>
      <c r="AG20" s="40" t="n">
        <v>2</v>
      </c>
      <c r="AH20" s="0" t="n">
        <f aca="false">COMBIN(AF20,AG20)</f>
        <v>6</v>
      </c>
      <c r="AJ20" s="0" t="n">
        <f aca="false">Z20*AH20</f>
        <v>918</v>
      </c>
    </row>
    <row r="21" customFormat="false" ht="13.8" hidden="false" customHeight="false" outlineLevel="0" collapsed="false">
      <c r="A21" s="23" t="n">
        <v>3</v>
      </c>
      <c r="B21" s="23" t="n">
        <v>22</v>
      </c>
      <c r="C21" s="23" t="n">
        <v>231</v>
      </c>
      <c r="D21" s="39"/>
      <c r="E21" s="39"/>
      <c r="F21" s="39"/>
      <c r="G21" s="39"/>
      <c r="H21" s="39" t="n">
        <v>6</v>
      </c>
      <c r="I21" s="39"/>
      <c r="J21" s="39"/>
      <c r="K21" s="39"/>
      <c r="L21" s="39" t="n">
        <v>3</v>
      </c>
      <c r="M21" s="39"/>
      <c r="N21" s="23" t="n">
        <v>1</v>
      </c>
      <c r="O21" s="23"/>
      <c r="P21" s="23" t="n">
        <v>231</v>
      </c>
      <c r="Q21" s="23"/>
      <c r="AA21" s="40"/>
      <c r="AB21" s="40"/>
      <c r="AC21" s="23" t="s">
        <v>9</v>
      </c>
      <c r="AD21" s="23" t="s">
        <v>34</v>
      </c>
      <c r="AE21" s="23" t="s">
        <v>11</v>
      </c>
      <c r="AF21" s="40"/>
      <c r="AG21" s="40"/>
    </row>
    <row r="22" customFormat="false" ht="13.8" hidden="false" customHeight="false" outlineLevel="0" collapsed="false">
      <c r="A22" s="23" t="n">
        <v>3</v>
      </c>
      <c r="B22" s="23" t="n">
        <v>22</v>
      </c>
      <c r="C22" s="23" t="n">
        <v>231</v>
      </c>
      <c r="D22" s="39"/>
      <c r="E22" s="39"/>
      <c r="F22" s="39"/>
      <c r="G22" s="39"/>
      <c r="H22" s="39" t="n">
        <v>5</v>
      </c>
      <c r="I22" s="39"/>
      <c r="J22" s="39"/>
      <c r="K22" s="39"/>
      <c r="L22" s="39" t="n">
        <v>3</v>
      </c>
      <c r="M22" s="39"/>
      <c r="N22" s="23" t="n">
        <v>1</v>
      </c>
      <c r="O22" s="23"/>
      <c r="P22" s="23" t="n">
        <v>231</v>
      </c>
      <c r="Q22" s="23"/>
      <c r="AJ22" s="0" t="n">
        <f aca="false">SUM(AJ2:AJ21)</f>
        <v>10573</v>
      </c>
      <c r="AK22" s="21" t="n">
        <v>11420</v>
      </c>
    </row>
    <row r="23" customFormat="false" ht="13.8" hidden="false" customHeight="false" outlineLevel="0" collapsed="false">
      <c r="A23" s="23" t="n">
        <v>0</v>
      </c>
      <c r="B23" s="23" t="n">
        <v>19</v>
      </c>
      <c r="C23" s="23" t="n">
        <v>171</v>
      </c>
      <c r="D23" s="39"/>
      <c r="E23" s="39"/>
      <c r="F23" s="39"/>
      <c r="G23" s="39"/>
      <c r="H23" s="39" t="n">
        <v>4</v>
      </c>
      <c r="I23" s="39"/>
      <c r="J23" s="39"/>
      <c r="K23" s="39"/>
      <c r="L23" s="39" t="n">
        <v>3</v>
      </c>
      <c r="M23" s="39"/>
      <c r="N23" s="23" t="n">
        <v>1</v>
      </c>
      <c r="O23" s="23"/>
      <c r="P23" s="23" t="n">
        <v>171</v>
      </c>
      <c r="Q23" s="23"/>
      <c r="AJ23" s="0" t="n">
        <f aca="false">AK22-AJ22</f>
        <v>847</v>
      </c>
    </row>
    <row r="24" customFormat="false" ht="13.8" hidden="false" customHeight="false" outlineLevel="0" collapsed="false">
      <c r="A24" s="23"/>
      <c r="B24" s="23" t="n">
        <v>19</v>
      </c>
      <c r="C24" s="23" t="n">
        <v>171</v>
      </c>
      <c r="D24" s="39"/>
      <c r="E24" s="39"/>
      <c r="F24" s="39"/>
      <c r="G24" s="39"/>
      <c r="H24" s="39" t="n">
        <v>3</v>
      </c>
      <c r="I24" s="39"/>
      <c r="J24" s="39" t="n">
        <v>0</v>
      </c>
      <c r="K24" s="39"/>
      <c r="L24" s="39" t="n">
        <v>3</v>
      </c>
      <c r="M24" s="39"/>
      <c r="N24" s="23" t="n">
        <v>0</v>
      </c>
      <c r="O24" s="23"/>
      <c r="P24" s="23" t="n">
        <v>0</v>
      </c>
      <c r="Q24" s="23"/>
    </row>
    <row r="25" customFormat="false" ht="13.8" hidden="false" customHeight="false" outlineLevel="0" collapsed="false">
      <c r="A25" s="23" t="n">
        <v>1</v>
      </c>
      <c r="B25" s="23" t="n">
        <v>20</v>
      </c>
      <c r="C25" s="23" t="n">
        <v>190</v>
      </c>
      <c r="D25" s="39"/>
      <c r="E25" s="39"/>
      <c r="F25" s="39"/>
      <c r="G25" s="39"/>
      <c r="H25" s="39" t="n">
        <v>2</v>
      </c>
      <c r="I25" s="39"/>
      <c r="J25" s="39"/>
      <c r="K25" s="39"/>
      <c r="L25" s="39" t="n">
        <v>3</v>
      </c>
      <c r="M25" s="39"/>
      <c r="N25" s="23" t="n">
        <v>1</v>
      </c>
      <c r="O25" s="23"/>
      <c r="P25" s="23" t="n">
        <v>190</v>
      </c>
      <c r="Q25" s="23"/>
    </row>
    <row r="26" customFormat="false" ht="13.8" hidden="false" customHeight="false" outlineLevel="0" collapsed="false">
      <c r="A26" s="23" t="n">
        <v>2</v>
      </c>
      <c r="B26" s="23" t="n">
        <v>21</v>
      </c>
      <c r="C26" s="23" t="n">
        <v>210</v>
      </c>
      <c r="D26" s="39"/>
      <c r="E26" s="39"/>
      <c r="F26" s="39"/>
      <c r="G26" s="39"/>
      <c r="H26" s="39" t="n">
        <v>1</v>
      </c>
      <c r="I26" s="39"/>
      <c r="J26" s="39"/>
      <c r="K26" s="39"/>
      <c r="L26" s="39" t="n">
        <v>3</v>
      </c>
      <c r="M26" s="39"/>
      <c r="N26" s="23" t="n">
        <v>1</v>
      </c>
      <c r="O26" s="23"/>
      <c r="P26" s="23" t="n">
        <v>210</v>
      </c>
      <c r="Q26" s="23"/>
    </row>
    <row r="27" customFormat="false" ht="13.8" hidden="false" customHeight="false" outlineLevel="0" collapsed="false">
      <c r="A27" s="23"/>
      <c r="B27" s="23" t="n">
        <v>17</v>
      </c>
      <c r="C27" s="23" t="n">
        <v>136</v>
      </c>
      <c r="D27" s="39"/>
      <c r="E27" s="39"/>
      <c r="F27" s="39"/>
      <c r="G27" s="39"/>
      <c r="H27" s="39" t="n">
        <v>6</v>
      </c>
      <c r="I27" s="39"/>
      <c r="J27" s="39"/>
      <c r="K27" s="39"/>
      <c r="L27" s="39" t="n">
        <v>2</v>
      </c>
      <c r="M27" s="39"/>
      <c r="N27" s="23" t="n">
        <v>0</v>
      </c>
      <c r="O27" s="23"/>
      <c r="P27" s="23" t="n">
        <v>0</v>
      </c>
      <c r="Q27" s="23"/>
    </row>
    <row r="28" customFormat="false" ht="13.8" hidden="false" customHeight="false" outlineLevel="0" collapsed="false">
      <c r="A28" s="23"/>
      <c r="B28" s="23" t="n">
        <v>18</v>
      </c>
      <c r="C28" s="23" t="n">
        <v>153</v>
      </c>
      <c r="D28" s="39"/>
      <c r="E28" s="39"/>
      <c r="F28" s="39"/>
      <c r="G28" s="39"/>
      <c r="H28" s="39" t="n">
        <v>5</v>
      </c>
      <c r="I28" s="39"/>
      <c r="J28" s="39"/>
      <c r="K28" s="39"/>
      <c r="L28" s="39" t="n">
        <v>2</v>
      </c>
      <c r="M28" s="39"/>
      <c r="N28" s="23" t="n">
        <v>0</v>
      </c>
      <c r="O28" s="23"/>
      <c r="P28" s="23" t="n">
        <v>0</v>
      </c>
      <c r="Q28" s="23"/>
    </row>
    <row r="29" customFormat="false" ht="13.8" hidden="false" customHeight="false" outlineLevel="0" collapsed="false">
      <c r="A29" s="23"/>
      <c r="B29" s="23" t="n">
        <v>19</v>
      </c>
      <c r="C29" s="23" t="n">
        <v>171</v>
      </c>
      <c r="D29" s="39"/>
      <c r="E29" s="39"/>
      <c r="F29" s="39"/>
      <c r="G29" s="39"/>
      <c r="H29" s="39" t="n">
        <v>4</v>
      </c>
      <c r="I29" s="39"/>
      <c r="J29" s="39"/>
      <c r="K29" s="39"/>
      <c r="L29" s="39" t="n">
        <v>2</v>
      </c>
      <c r="M29" s="39"/>
      <c r="N29" s="23" t="n">
        <v>0</v>
      </c>
      <c r="O29" s="23"/>
      <c r="P29" s="23" t="n">
        <v>0</v>
      </c>
      <c r="Q29" s="23"/>
    </row>
    <row r="30" customFormat="false" ht="13.8" hidden="false" customHeight="false" outlineLevel="0" collapsed="false">
      <c r="A30" s="23"/>
      <c r="B30" s="23" t="n">
        <v>20</v>
      </c>
      <c r="C30" s="23" t="n">
        <v>190</v>
      </c>
      <c r="D30" s="39"/>
      <c r="E30" s="39"/>
      <c r="F30" s="39"/>
      <c r="G30" s="39"/>
      <c r="H30" s="39" t="n">
        <v>3</v>
      </c>
      <c r="I30" s="39"/>
      <c r="J30" s="39"/>
      <c r="K30" s="39"/>
      <c r="L30" s="39" t="n">
        <v>2</v>
      </c>
      <c r="M30" s="39"/>
      <c r="N30" s="23" t="n">
        <v>0</v>
      </c>
      <c r="O30" s="23"/>
      <c r="P30" s="23" t="n">
        <v>0</v>
      </c>
      <c r="Q30" s="23"/>
    </row>
    <row r="31" customFormat="false" ht="13.8" hidden="false" customHeight="false" outlineLevel="0" collapsed="false">
      <c r="A31" s="23"/>
      <c r="B31" s="23" t="n">
        <v>21</v>
      </c>
      <c r="C31" s="23" t="n">
        <v>210</v>
      </c>
      <c r="D31" s="39"/>
      <c r="E31" s="39"/>
      <c r="F31" s="39"/>
      <c r="G31" s="39"/>
      <c r="H31" s="39" t="n">
        <v>2</v>
      </c>
      <c r="I31" s="39"/>
      <c r="J31" s="39"/>
      <c r="K31" s="39"/>
      <c r="L31" s="39" t="n">
        <v>2</v>
      </c>
      <c r="M31" s="39"/>
      <c r="N31" s="23" t="n">
        <v>0</v>
      </c>
      <c r="O31" s="23"/>
      <c r="P31" s="23" t="n">
        <v>0</v>
      </c>
      <c r="Q31" s="23"/>
    </row>
    <row r="32" customFormat="false" ht="13.8" hidden="false" customHeight="false" outlineLevel="0" collapsed="false">
      <c r="A32" s="23"/>
      <c r="B32" s="23" t="n">
        <v>21</v>
      </c>
      <c r="C32" s="23" t="n">
        <v>210</v>
      </c>
      <c r="D32" s="39"/>
      <c r="E32" s="39"/>
      <c r="F32" s="39"/>
      <c r="G32" s="39"/>
      <c r="H32" s="39" t="n">
        <v>1</v>
      </c>
      <c r="I32" s="39"/>
      <c r="J32" s="39"/>
      <c r="K32" s="39"/>
      <c r="L32" s="39" t="n">
        <v>2</v>
      </c>
      <c r="M32" s="39"/>
      <c r="N32" s="23" t="n">
        <v>0</v>
      </c>
      <c r="O32" s="23"/>
      <c r="P32" s="23" t="n">
        <v>0</v>
      </c>
      <c r="Q32" s="23"/>
    </row>
    <row r="33" customFormat="false" ht="13.8" hidden="false" customHeight="false" outlineLevel="0" collapsed="false">
      <c r="A33" s="23"/>
      <c r="B33" s="23" t="n">
        <v>17</v>
      </c>
      <c r="C33" s="23" t="n">
        <v>136</v>
      </c>
      <c r="D33" s="39"/>
      <c r="E33" s="39"/>
      <c r="F33" s="39"/>
      <c r="G33" s="39"/>
      <c r="H33" s="39" t="n">
        <v>6</v>
      </c>
      <c r="I33" s="39"/>
      <c r="J33" s="39"/>
      <c r="K33" s="39"/>
      <c r="L33" s="39" t="n">
        <v>1</v>
      </c>
      <c r="M33" s="39"/>
      <c r="N33" s="23" t="n">
        <v>0</v>
      </c>
      <c r="O33" s="23"/>
      <c r="P33" s="23" t="n">
        <v>0</v>
      </c>
      <c r="Q33" s="23"/>
    </row>
    <row r="34" customFormat="false" ht="13.8" hidden="false" customHeight="false" outlineLevel="0" collapsed="false">
      <c r="A34" s="23"/>
      <c r="B34" s="23" t="n">
        <v>18</v>
      </c>
      <c r="C34" s="23" t="n">
        <v>153</v>
      </c>
      <c r="D34" s="39"/>
      <c r="E34" s="39"/>
      <c r="F34" s="39"/>
      <c r="G34" s="39"/>
      <c r="H34" s="39" t="n">
        <v>5</v>
      </c>
      <c r="I34" s="39"/>
      <c r="J34" s="39"/>
      <c r="K34" s="39"/>
      <c r="L34" s="39" t="n">
        <v>1</v>
      </c>
      <c r="M34" s="39"/>
      <c r="N34" s="23" t="n">
        <v>0</v>
      </c>
      <c r="O34" s="23"/>
      <c r="P34" s="23" t="n">
        <v>0</v>
      </c>
      <c r="Q34" s="23"/>
    </row>
    <row r="35" customFormat="false" ht="13.8" hidden="false" customHeight="false" outlineLevel="0" collapsed="false">
      <c r="A35" s="23"/>
      <c r="B35" s="23" t="n">
        <v>19</v>
      </c>
      <c r="C35" s="23" t="n">
        <v>171</v>
      </c>
      <c r="D35" s="39"/>
      <c r="E35" s="39"/>
      <c r="F35" s="39"/>
      <c r="G35" s="39"/>
      <c r="H35" s="39" t="n">
        <v>4</v>
      </c>
      <c r="I35" s="39"/>
      <c r="J35" s="39"/>
      <c r="K35" s="39"/>
      <c r="L35" s="39" t="n">
        <v>1</v>
      </c>
      <c r="M35" s="39"/>
      <c r="N35" s="23" t="n">
        <v>0</v>
      </c>
      <c r="O35" s="23"/>
      <c r="P35" s="23" t="n">
        <v>0</v>
      </c>
      <c r="Q35" s="23"/>
    </row>
    <row r="36" customFormat="false" ht="13.8" hidden="false" customHeight="false" outlineLevel="0" collapsed="false">
      <c r="A36" s="23"/>
      <c r="B36" s="23" t="n">
        <v>20</v>
      </c>
      <c r="C36" s="23" t="n">
        <v>190</v>
      </c>
      <c r="D36" s="39"/>
      <c r="E36" s="39"/>
      <c r="F36" s="39"/>
      <c r="G36" s="39"/>
      <c r="H36" s="39" t="n">
        <v>3</v>
      </c>
      <c r="I36" s="39"/>
      <c r="J36" s="39"/>
      <c r="K36" s="39"/>
      <c r="L36" s="39" t="n">
        <v>1</v>
      </c>
      <c r="M36" s="39"/>
      <c r="N36" s="23" t="n">
        <v>0</v>
      </c>
      <c r="O36" s="23"/>
      <c r="P36" s="23" t="n">
        <v>0</v>
      </c>
      <c r="Q36" s="23"/>
    </row>
    <row r="37" customFormat="false" ht="13.8" hidden="false" customHeight="false" outlineLevel="0" collapsed="false">
      <c r="A37" s="23"/>
      <c r="B37" s="23" t="n">
        <v>21</v>
      </c>
      <c r="C37" s="23" t="n">
        <v>210</v>
      </c>
      <c r="D37" s="39"/>
      <c r="E37" s="39"/>
      <c r="F37" s="39"/>
      <c r="G37" s="39"/>
      <c r="H37" s="39" t="n">
        <v>2</v>
      </c>
      <c r="I37" s="39"/>
      <c r="J37" s="39"/>
      <c r="K37" s="39"/>
      <c r="L37" s="39" t="n">
        <v>1</v>
      </c>
      <c r="M37" s="39"/>
      <c r="N37" s="23" t="n">
        <v>0</v>
      </c>
      <c r="O37" s="23"/>
      <c r="P37" s="23" t="n">
        <v>0</v>
      </c>
      <c r="Q37" s="23"/>
    </row>
    <row r="38" customFormat="false" ht="13.8" hidden="false" customHeight="false" outlineLevel="0" collapsed="false">
      <c r="A38" s="23"/>
      <c r="B38" s="23" t="n">
        <v>22</v>
      </c>
      <c r="C38" s="23" t="n">
        <v>231</v>
      </c>
      <c r="D38" s="39"/>
      <c r="E38" s="39"/>
      <c r="F38" s="39"/>
      <c r="G38" s="39"/>
      <c r="H38" s="39" t="n">
        <v>1</v>
      </c>
      <c r="I38" s="39"/>
      <c r="J38" s="39"/>
      <c r="K38" s="39"/>
      <c r="L38" s="39" t="n">
        <v>1</v>
      </c>
      <c r="M38" s="39"/>
      <c r="N38" s="23" t="n">
        <v>0</v>
      </c>
      <c r="O38" s="23"/>
      <c r="P38" s="23" t="n">
        <v>0</v>
      </c>
      <c r="Q38" s="23"/>
    </row>
    <row r="39" customFormat="false" ht="13.8" hidden="false" customHeight="false" outlineLevel="0" collapsed="false">
      <c r="A39" s="23"/>
      <c r="B39" s="23"/>
      <c r="C39" s="23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23"/>
      <c r="O39" s="23"/>
      <c r="P39" s="23" t="n">
        <v>12680</v>
      </c>
      <c r="Q39" s="41" t="n">
        <v>11420</v>
      </c>
    </row>
    <row r="40" customFormat="false" ht="13.8" hidden="false" customHeight="false" outlineLevel="0" collapsed="false">
      <c r="A40" s="23"/>
      <c r="B40" s="23"/>
      <c r="C40" s="23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23"/>
      <c r="O40" s="23"/>
      <c r="P40" s="23" t="n">
        <v>1260</v>
      </c>
      <c r="Q40" s="23"/>
    </row>
    <row r="54" customFormat="false" ht="13.8" hidden="false" customHeight="false" outlineLevel="0" collapsed="false">
      <c r="AH54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9.15234375" defaultRowHeight="12.8" zeroHeight="false" outlineLevelRow="0" outlineLevelCol="0"/>
  <sheetData>
    <row r="1" customFormat="false" ht="12.8" hidden="false" customHeight="false" outlineLevel="0" collapsed="false">
      <c r="A1" s="0" t="s">
        <v>35</v>
      </c>
    </row>
    <row r="2" customFormat="false" ht="13.8" hidden="false" customHeight="false" outlineLevel="0" collapsed="false">
      <c r="B2" s="42" t="n">
        <v>1</v>
      </c>
      <c r="C2" s="42" t="n">
        <v>2</v>
      </c>
      <c r="D2" s="42" t="n">
        <v>0</v>
      </c>
    </row>
    <row r="3" customFormat="false" ht="13.8" hidden="false" customHeight="false" outlineLevel="0" collapsed="false">
      <c r="B3" s="42" t="n">
        <v>1</v>
      </c>
      <c r="C3" s="42" t="n">
        <v>3</v>
      </c>
      <c r="D3" s="42" t="n">
        <v>0</v>
      </c>
    </row>
    <row r="4" customFormat="false" ht="13.8" hidden="false" customHeight="false" outlineLevel="0" collapsed="false">
      <c r="B4" s="42" t="n">
        <v>1</v>
      </c>
      <c r="C4" s="42" t="n">
        <v>4</v>
      </c>
      <c r="D4" s="42" t="n">
        <v>210</v>
      </c>
    </row>
    <row r="5" customFormat="false" ht="13.8" hidden="false" customHeight="false" outlineLevel="0" collapsed="false">
      <c r="B5" s="42" t="n">
        <v>1</v>
      </c>
      <c r="C5" s="42" t="n">
        <v>5</v>
      </c>
      <c r="D5" s="42" t="n">
        <v>630</v>
      </c>
    </row>
    <row r="6" customFormat="false" ht="13.8" hidden="false" customHeight="false" outlineLevel="0" collapsed="false">
      <c r="B6" s="42" t="n">
        <v>1</v>
      </c>
      <c r="C6" s="42" t="n">
        <v>6</v>
      </c>
      <c r="D6" s="42" t="n">
        <v>1260</v>
      </c>
    </row>
    <row r="8" customFormat="false" ht="12.8" hidden="false" customHeight="false" outlineLevel="0" collapsed="false">
      <c r="B8" s="0" t="n">
        <v>2</v>
      </c>
      <c r="C8" s="0" t="n">
        <v>1</v>
      </c>
      <c r="D8" s="0" t="n">
        <v>0</v>
      </c>
    </row>
    <row r="9" customFormat="false" ht="13.8" hidden="false" customHeight="false" outlineLevel="0" collapsed="false">
      <c r="B9" s="42" t="n">
        <v>2</v>
      </c>
      <c r="C9" s="42" t="n">
        <v>3</v>
      </c>
      <c r="D9" s="42" t="n">
        <v>0</v>
      </c>
    </row>
    <row r="10" customFormat="false" ht="13.8" hidden="false" customHeight="false" outlineLevel="0" collapsed="false">
      <c r="B10" s="42" t="n">
        <v>2</v>
      </c>
      <c r="C10" s="42" t="n">
        <v>4</v>
      </c>
      <c r="D10" s="42" t="n">
        <v>210</v>
      </c>
    </row>
    <row r="11" customFormat="false" ht="13.8" hidden="false" customHeight="false" outlineLevel="0" collapsed="false">
      <c r="B11" s="42" t="n">
        <v>2</v>
      </c>
      <c r="C11" s="42" t="n">
        <v>5</v>
      </c>
      <c r="D11" s="42" t="n">
        <v>610</v>
      </c>
    </row>
    <row r="12" customFormat="false" ht="13.8" hidden="false" customHeight="false" outlineLevel="0" collapsed="false">
      <c r="B12" s="42" t="n">
        <v>2</v>
      </c>
      <c r="C12" s="42" t="n">
        <v>6</v>
      </c>
      <c r="D12" s="42" t="n">
        <v>1200</v>
      </c>
    </row>
    <row r="14" customFormat="false" ht="12.8" hidden="false" customHeight="false" outlineLevel="0" collapsed="false">
      <c r="B14" s="0" t="n">
        <v>3</v>
      </c>
      <c r="C14" s="0" t="n">
        <v>1</v>
      </c>
      <c r="D14" s="0" t="n">
        <v>0</v>
      </c>
    </row>
    <row r="15" customFormat="false" ht="12.8" hidden="false" customHeight="false" outlineLevel="0" collapsed="false">
      <c r="B15" s="0" t="n">
        <v>3</v>
      </c>
      <c r="C15" s="0" t="n">
        <v>2</v>
      </c>
      <c r="D15" s="0" t="n">
        <v>0</v>
      </c>
    </row>
    <row r="16" customFormat="false" ht="13.8" hidden="false" customHeight="false" outlineLevel="0" collapsed="false">
      <c r="B16" s="42" t="n">
        <v>3</v>
      </c>
      <c r="C16" s="42" t="n">
        <v>4</v>
      </c>
      <c r="D16" s="42" t="n">
        <v>210</v>
      </c>
    </row>
    <row r="17" customFormat="false" ht="13.8" hidden="false" customHeight="false" outlineLevel="0" collapsed="false">
      <c r="B17" s="42" t="n">
        <v>3</v>
      </c>
      <c r="C17" s="42" t="n">
        <v>5</v>
      </c>
      <c r="D17" s="42" t="n">
        <v>590</v>
      </c>
    </row>
    <row r="18" customFormat="false" ht="13.8" hidden="false" customHeight="false" outlineLevel="0" collapsed="false">
      <c r="B18" s="42" t="n">
        <v>3</v>
      </c>
      <c r="C18" s="42" t="n">
        <v>6</v>
      </c>
      <c r="D18" s="42" t="n">
        <v>1141</v>
      </c>
    </row>
    <row r="20" customFormat="false" ht="12.8" hidden="false" customHeight="false" outlineLevel="0" collapsed="false">
      <c r="B20" s="0" t="n">
        <v>4</v>
      </c>
      <c r="C20" s="0" t="n">
        <v>1</v>
      </c>
      <c r="D20" s="0" t="n">
        <v>0</v>
      </c>
    </row>
    <row r="21" customFormat="false" ht="12.8" hidden="false" customHeight="false" outlineLevel="0" collapsed="false">
      <c r="B21" s="0" t="n">
        <v>4</v>
      </c>
      <c r="C21" s="0" t="n">
        <v>2</v>
      </c>
      <c r="D21" s="0" t="n">
        <v>0</v>
      </c>
    </row>
    <row r="22" customFormat="false" ht="12.8" hidden="false" customHeight="false" outlineLevel="0" collapsed="false">
      <c r="B22" s="0" t="n">
        <v>4</v>
      </c>
      <c r="C22" s="0" t="n">
        <v>3</v>
      </c>
      <c r="D22" s="0" t="n">
        <v>210</v>
      </c>
    </row>
    <row r="23" customFormat="false" ht="13.8" hidden="false" customHeight="false" outlineLevel="0" collapsed="false">
      <c r="B23" s="42" t="n">
        <v>4</v>
      </c>
      <c r="C23" s="42" t="n">
        <v>5</v>
      </c>
      <c r="D23" s="42" t="n">
        <v>570</v>
      </c>
    </row>
    <row r="24" customFormat="false" ht="13.8" hidden="false" customHeight="false" outlineLevel="0" collapsed="false">
      <c r="B24" s="42" t="n">
        <v>4</v>
      </c>
      <c r="C24" s="42" t="n">
        <v>6</v>
      </c>
      <c r="D24" s="42" t="n">
        <v>1083</v>
      </c>
    </row>
    <row r="26" customFormat="false" ht="12.8" hidden="false" customHeight="false" outlineLevel="0" collapsed="false">
      <c r="B26" s="0" t="n">
        <v>5</v>
      </c>
      <c r="C26" s="0" t="n">
        <v>1</v>
      </c>
      <c r="D26" s="0" t="n">
        <v>0</v>
      </c>
    </row>
    <row r="27" customFormat="false" ht="12.8" hidden="false" customHeight="false" outlineLevel="0" collapsed="false">
      <c r="B27" s="0" t="n">
        <v>5</v>
      </c>
      <c r="C27" s="0" t="n">
        <v>2</v>
      </c>
      <c r="D27" s="0" t="n">
        <v>0</v>
      </c>
    </row>
    <row r="28" customFormat="false" ht="12.8" hidden="false" customHeight="false" outlineLevel="0" collapsed="false">
      <c r="B28" s="0" t="n">
        <v>5</v>
      </c>
      <c r="C28" s="0" t="n">
        <v>3</v>
      </c>
      <c r="D28" s="0" t="n">
        <v>190</v>
      </c>
    </row>
    <row r="29" customFormat="false" ht="12.8" hidden="false" customHeight="false" outlineLevel="0" collapsed="false">
      <c r="B29" s="0" t="n">
        <v>5</v>
      </c>
      <c r="C29" s="0" t="n">
        <v>4</v>
      </c>
      <c r="D29" s="0" t="n">
        <v>570</v>
      </c>
    </row>
    <row r="30" customFormat="false" ht="13.8" hidden="false" customHeight="false" outlineLevel="0" collapsed="false">
      <c r="B30" s="42" t="n">
        <v>5</v>
      </c>
      <c r="C30" s="42" t="n">
        <v>6</v>
      </c>
      <c r="D30" s="42" t="n">
        <v>1026</v>
      </c>
    </row>
    <row r="32" customFormat="false" ht="12.8" hidden="false" customHeight="false" outlineLevel="0" collapsed="false">
      <c r="B32" s="0" t="n">
        <v>6</v>
      </c>
      <c r="C32" s="0" t="n">
        <v>1</v>
      </c>
      <c r="D32" s="0" t="n">
        <v>0</v>
      </c>
    </row>
    <row r="33" customFormat="false" ht="12.8" hidden="false" customHeight="false" outlineLevel="0" collapsed="false">
      <c r="B33" s="0" t="n">
        <v>6</v>
      </c>
      <c r="C33" s="0" t="n">
        <v>2</v>
      </c>
      <c r="D33" s="0" t="n">
        <v>0</v>
      </c>
    </row>
    <row r="34" customFormat="false" ht="12.8" hidden="false" customHeight="false" outlineLevel="0" collapsed="false">
      <c r="B34" s="0" t="n">
        <v>6</v>
      </c>
      <c r="C34" s="0" t="n">
        <v>3</v>
      </c>
      <c r="D34" s="0" t="n">
        <v>171</v>
      </c>
    </row>
    <row r="35" customFormat="false" ht="12.8" hidden="false" customHeight="false" outlineLevel="0" collapsed="false">
      <c r="B35" s="0" t="n">
        <v>6</v>
      </c>
      <c r="C35" s="0" t="n">
        <v>4</v>
      </c>
      <c r="D35" s="0" t="n">
        <v>513</v>
      </c>
    </row>
    <row r="36" customFormat="false" ht="12.8" hidden="false" customHeight="false" outlineLevel="0" collapsed="false">
      <c r="B36" s="0" t="n">
        <v>6</v>
      </c>
      <c r="C36" s="0" t="n">
        <v>5</v>
      </c>
      <c r="D36" s="0" t="n">
        <v>1026</v>
      </c>
    </row>
    <row r="3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2025-05-19T15:52:39Z</dcterms:created>
  <dc:creator>David Buscaglia</dc:creator>
  <dc:description/>
  <dc:language>en-US</dc:language>
  <cp:lastModifiedBy/>
  <dcterms:modified xsi:type="dcterms:W3CDTF">2025-06-22T08:11:35Z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